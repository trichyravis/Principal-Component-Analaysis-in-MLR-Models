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chyravis/Library/Mobile Documents/com~apple~CloudDocs/01. Ravis Academics/07. My Lectures Subject Wise/300. Articles in LinkedIN/99. All About PCA (MLR)/"/>
    </mc:Choice>
  </mc:AlternateContent>
  <xr:revisionPtr revIDLastSave="0" documentId="13_ncr:1_{1E87D876-42AE-EB43-B468-C591E732799D}" xr6:coauthVersionLast="47" xr6:coauthVersionMax="47" xr10:uidLastSave="{00000000-0000-0000-0000-000000000000}"/>
  <bookViews>
    <workbookView xWindow="33600" yWindow="-1080" windowWidth="38400" windowHeight="20020" xr2:uid="{80395960-C2C4-EC42-A164-54F71F9E37A8}"/>
  </bookViews>
  <sheets>
    <sheet name="TOC" sheetId="1" r:id="rId1"/>
    <sheet name="1. MLR Recap" sheetId="2" r:id="rId2"/>
    <sheet name="2. The Problem" sheetId="3" r:id="rId3"/>
    <sheet name="3. PCA Intuition" sheetId="4" r:id="rId4"/>
    <sheet name="4. PCA Math" sheetId="5" r:id="rId5"/>
    <sheet name="5. PCA Steps" sheetId="6" r:id="rId6"/>
    <sheet name="6. PCR (PCA+MLR)" sheetId="7" r:id="rId7"/>
    <sheet name="7. Illustration" sheetId="8" r:id="rId8"/>
    <sheet name="8. Pros &amp; Cons" sheetId="9" r:id="rId9"/>
    <sheet name="9. Glossary &amp; FAQ" sheetId="10" r:id="rId10"/>
    <sheet name="10. Case Study" sheetId="11" r:id="rId11"/>
    <sheet name="Eigen Calc" sheetId="12" r:id="rId1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2" l="1"/>
  <c r="C66" i="11"/>
  <c r="Q12" i="12"/>
  <c r="P12" i="12"/>
  <c r="Q11" i="12"/>
  <c r="P11" i="12"/>
  <c r="Q10" i="12"/>
  <c r="P10" i="12"/>
  <c r="Q9" i="12"/>
  <c r="P9" i="12"/>
  <c r="Q8" i="12"/>
  <c r="P8" i="12"/>
  <c r="Q7" i="12"/>
  <c r="B65" i="12"/>
  <c r="C65" i="12"/>
  <c r="D65" i="12"/>
  <c r="E65" i="12"/>
  <c r="F65" i="12"/>
  <c r="G65" i="12"/>
  <c r="B66" i="12"/>
  <c r="B67" i="12" s="1"/>
  <c r="B68" i="12" s="1"/>
  <c r="B69" i="12" s="1"/>
  <c r="B70" i="12" s="1"/>
  <c r="B71" i="12" s="1"/>
  <c r="M64" i="12"/>
  <c r="L64" i="12"/>
  <c r="K64" i="12"/>
  <c r="J64" i="12"/>
  <c r="I64" i="12"/>
  <c r="H64" i="12"/>
  <c r="G64" i="12"/>
  <c r="F64" i="12"/>
  <c r="E64" i="12"/>
  <c r="D64" i="12"/>
  <c r="C64" i="12"/>
  <c r="B64" i="12"/>
  <c r="M63" i="12"/>
  <c r="L63" i="12"/>
  <c r="K63" i="12"/>
  <c r="J63" i="12"/>
  <c r="I63" i="12"/>
  <c r="G62" i="12"/>
  <c r="F62" i="12"/>
  <c r="E62" i="12"/>
  <c r="D62" i="12"/>
  <c r="C62" i="12"/>
  <c r="G61" i="12"/>
  <c r="F61" i="12"/>
  <c r="E61" i="12"/>
  <c r="D61" i="12"/>
  <c r="C61" i="12"/>
  <c r="G60" i="12"/>
  <c r="F60" i="12"/>
  <c r="E60" i="12"/>
  <c r="D60" i="12"/>
  <c r="C60" i="12"/>
  <c r="G59" i="12"/>
  <c r="F59" i="12"/>
  <c r="E59" i="12"/>
  <c r="D59" i="12"/>
  <c r="C59" i="12"/>
  <c r="G58" i="12"/>
  <c r="F58" i="12"/>
  <c r="E58" i="12"/>
  <c r="D58" i="12"/>
  <c r="C58" i="12"/>
  <c r="B49" i="12"/>
  <c r="B50" i="12" s="1"/>
  <c r="B51" i="12" s="1"/>
  <c r="B52" i="12" s="1"/>
  <c r="B53" i="12" s="1"/>
  <c r="B54" i="12" s="1"/>
  <c r="B55" i="12" s="1"/>
  <c r="C49" i="12"/>
  <c r="H49" i="12" s="1"/>
  <c r="D49" i="12"/>
  <c r="E49" i="12"/>
  <c r="F49" i="12"/>
  <c r="G49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M47" i="12"/>
  <c r="L47" i="12"/>
  <c r="K47" i="12"/>
  <c r="J47" i="12"/>
  <c r="I47" i="12"/>
  <c r="G46" i="12"/>
  <c r="F46" i="12"/>
  <c r="E46" i="12"/>
  <c r="D46" i="12"/>
  <c r="C46" i="12"/>
  <c r="G45" i="12"/>
  <c r="F45" i="12"/>
  <c r="E45" i="12"/>
  <c r="D45" i="12"/>
  <c r="C45" i="12"/>
  <c r="G44" i="12"/>
  <c r="F44" i="12"/>
  <c r="E44" i="12"/>
  <c r="D44" i="12"/>
  <c r="C44" i="12"/>
  <c r="G43" i="12"/>
  <c r="F43" i="12"/>
  <c r="E43" i="12"/>
  <c r="D43" i="12"/>
  <c r="C43" i="12"/>
  <c r="G42" i="12"/>
  <c r="F42" i="12"/>
  <c r="E42" i="12"/>
  <c r="D42" i="12"/>
  <c r="C42" i="12"/>
  <c r="B33" i="12"/>
  <c r="C33" i="12"/>
  <c r="D33" i="12"/>
  <c r="E33" i="12"/>
  <c r="F33" i="12"/>
  <c r="G33" i="12"/>
  <c r="B34" i="12"/>
  <c r="B35" i="12" s="1"/>
  <c r="B36" i="12" s="1"/>
  <c r="B37" i="12" s="1"/>
  <c r="B38" i="12" s="1"/>
  <c r="B39" i="12" s="1"/>
  <c r="H16" i="12"/>
  <c r="J16" i="12" s="1"/>
  <c r="C17" i="12" s="1"/>
  <c r="C16" i="12"/>
  <c r="B32" i="12"/>
  <c r="M31" i="12"/>
  <c r="L31" i="12"/>
  <c r="K31" i="12"/>
  <c r="J31" i="12"/>
  <c r="I31" i="12"/>
  <c r="B17" i="12"/>
  <c r="B18" i="12"/>
  <c r="B19" i="12" s="1"/>
  <c r="B20" i="12" s="1"/>
  <c r="B21" i="12" s="1"/>
  <c r="B22" i="12" s="1"/>
  <c r="B23" i="12" s="1"/>
  <c r="M16" i="12"/>
  <c r="L16" i="12"/>
  <c r="K16" i="12"/>
  <c r="I16" i="12"/>
  <c r="D17" i="12" s="1"/>
  <c r="G16" i="12"/>
  <c r="F16" i="12"/>
  <c r="E16" i="12"/>
  <c r="D16" i="12"/>
  <c r="B16" i="12"/>
  <c r="M15" i="12"/>
  <c r="L15" i="12"/>
  <c r="K15" i="12"/>
  <c r="J15" i="12"/>
  <c r="I15" i="12"/>
  <c r="F66" i="11"/>
  <c r="G11" i="12"/>
  <c r="F11" i="12"/>
  <c r="E11" i="12"/>
  <c r="D11" i="12"/>
  <c r="C11" i="12"/>
  <c r="G10" i="12"/>
  <c r="F10" i="12"/>
  <c r="E10" i="12"/>
  <c r="D10" i="12"/>
  <c r="C10" i="12"/>
  <c r="G9" i="12"/>
  <c r="F9" i="12"/>
  <c r="E9" i="12"/>
  <c r="D9" i="12"/>
  <c r="C9" i="12"/>
  <c r="G8" i="12"/>
  <c r="F8" i="12"/>
  <c r="E8" i="12"/>
  <c r="D8" i="12"/>
  <c r="C8" i="12"/>
  <c r="G7" i="12"/>
  <c r="F7" i="12"/>
  <c r="E7" i="12"/>
  <c r="D7" i="12"/>
  <c r="C7" i="12"/>
  <c r="C61" i="11"/>
  <c r="I21" i="8"/>
  <c r="I17" i="8"/>
  <c r="I16" i="8"/>
  <c r="I15" i="8"/>
  <c r="I14" i="8"/>
  <c r="J10" i="8"/>
  <c r="J11" i="8"/>
  <c r="I10" i="8"/>
  <c r="C62" i="11"/>
  <c r="D62" i="11"/>
  <c r="E62" i="11"/>
  <c r="F62" i="11"/>
  <c r="G62" i="11"/>
  <c r="D61" i="11"/>
  <c r="E61" i="11"/>
  <c r="F61" i="11"/>
  <c r="G61" i="11"/>
  <c r="C107" i="11"/>
  <c r="C48" i="11"/>
  <c r="C44" i="11"/>
  <c r="C37" i="11"/>
  <c r="C36" i="11"/>
  <c r="B59" i="11"/>
  <c r="G59" i="11"/>
  <c r="C59" i="11"/>
  <c r="B49" i="11"/>
  <c r="B50" i="11"/>
  <c r="B51" i="11"/>
  <c r="B52" i="11"/>
  <c r="B53" i="11"/>
  <c r="B54" i="11"/>
  <c r="B55" i="11"/>
  <c r="B56" i="11"/>
  <c r="B57" i="11"/>
  <c r="B58" i="11"/>
  <c r="B48" i="11"/>
  <c r="G45" i="11"/>
  <c r="F45" i="11"/>
  <c r="F58" i="11" s="1"/>
  <c r="E45" i="11"/>
  <c r="E59" i="11" s="1"/>
  <c r="D45" i="11"/>
  <c r="C45" i="11"/>
  <c r="G44" i="11"/>
  <c r="G58" i="11" s="1"/>
  <c r="F44" i="11"/>
  <c r="F59" i="11" s="1"/>
  <c r="E44" i="11"/>
  <c r="D44" i="11"/>
  <c r="D59" i="11" s="1"/>
  <c r="C38" i="11"/>
  <c r="C111" i="11" s="1"/>
  <c r="H36" i="11"/>
  <c r="H37" i="11"/>
  <c r="G37" i="11"/>
  <c r="F37" i="11"/>
  <c r="E37" i="11"/>
  <c r="D37" i="11"/>
  <c r="G36" i="11"/>
  <c r="F36" i="11"/>
  <c r="E36" i="11"/>
  <c r="D36" i="11"/>
  <c r="O28" i="11"/>
  <c r="N27" i="11" a="1"/>
  <c r="N27" i="11" s="1"/>
  <c r="M26" i="11" a="1"/>
  <c r="M26" i="11" s="1"/>
  <c r="M25" i="11" a="1"/>
  <c r="M25" i="11" s="1"/>
  <c r="J97" i="11"/>
  <c r="J96" i="11"/>
  <c r="J95" i="11"/>
  <c r="J94" i="11"/>
  <c r="J93" i="11"/>
  <c r="J92" i="11"/>
  <c r="J91" i="11"/>
  <c r="J90" i="11"/>
  <c r="J89" i="11"/>
  <c r="J88" i="11"/>
  <c r="J87" i="11"/>
  <c r="J86" i="11"/>
  <c r="C106" i="11"/>
  <c r="D111" i="11" s="1"/>
  <c r="F103" i="11"/>
  <c r="E103" i="11"/>
  <c r="D103" i="11"/>
  <c r="C103" i="11"/>
  <c r="F102" i="11"/>
  <c r="E102" i="11"/>
  <c r="D102" i="11"/>
  <c r="C102" i="11"/>
  <c r="G29" i="11"/>
  <c r="F29" i="11"/>
  <c r="E29" i="11"/>
  <c r="D29" i="11"/>
  <c r="C29" i="11"/>
  <c r="G28" i="11"/>
  <c r="F28" i="11"/>
  <c r="E28" i="11"/>
  <c r="D28" i="11"/>
  <c r="C28" i="11"/>
  <c r="G27" i="11"/>
  <c r="F27" i="11"/>
  <c r="E27" i="11"/>
  <c r="D27" i="11"/>
  <c r="C27" i="11"/>
  <c r="G26" i="11"/>
  <c r="F26" i="11"/>
  <c r="E26" i="11"/>
  <c r="D26" i="11"/>
  <c r="C26" i="11"/>
  <c r="G25" i="11"/>
  <c r="F25" i="11"/>
  <c r="E25" i="11"/>
  <c r="D25" i="11"/>
  <c r="C25" i="11"/>
  <c r="B3" i="11"/>
  <c r="C15" i="1"/>
  <c r="C23" i="8"/>
  <c r="C22" i="8"/>
  <c r="B3" i="10"/>
  <c r="B3" i="9"/>
  <c r="B36" i="8"/>
  <c r="B35" i="8"/>
  <c r="B34" i="8"/>
  <c r="B33" i="8"/>
  <c r="B32" i="8"/>
  <c r="B31" i="8"/>
  <c r="B30" i="8"/>
  <c r="B29" i="8"/>
  <c r="B28" i="8"/>
  <c r="B27" i="8"/>
  <c r="I11" i="8"/>
  <c r="E12" i="8"/>
  <c r="D22" i="8"/>
  <c r="D21" i="8"/>
  <c r="F10" i="8" s="1"/>
  <c r="C21" i="8"/>
  <c r="E17" i="8" s="1"/>
  <c r="B3" i="8"/>
  <c r="B3" i="7"/>
  <c r="B3" i="6"/>
  <c r="B3" i="5"/>
  <c r="B3" i="4"/>
  <c r="B3" i="3"/>
  <c r="B3" i="2"/>
  <c r="C14" i="1"/>
  <c r="C13" i="1"/>
  <c r="C12" i="1"/>
  <c r="C11" i="1"/>
  <c r="C10" i="1"/>
  <c r="C9" i="1"/>
  <c r="C8" i="1"/>
  <c r="C7" i="1"/>
  <c r="C6" i="1"/>
  <c r="H65" i="12" l="1"/>
  <c r="L49" i="12"/>
  <c r="M49" i="12"/>
  <c r="K49" i="12"/>
  <c r="J49" i="12"/>
  <c r="I49" i="12"/>
  <c r="H33" i="12"/>
  <c r="I33" i="12" s="1"/>
  <c r="F17" i="12"/>
  <c r="G17" i="12"/>
  <c r="E17" i="12"/>
  <c r="E14" i="8"/>
  <c r="E16" i="8"/>
  <c r="E18" i="8"/>
  <c r="I18" i="8"/>
  <c r="E10" i="8"/>
  <c r="E58" i="11"/>
  <c r="C58" i="11"/>
  <c r="D52" i="11"/>
  <c r="G52" i="11"/>
  <c r="E55" i="11"/>
  <c r="D58" i="11"/>
  <c r="F50" i="11"/>
  <c r="C52" i="11"/>
  <c r="F13" i="8"/>
  <c r="F17" i="8"/>
  <c r="D55" i="11"/>
  <c r="E54" i="11"/>
  <c r="F14" i="8"/>
  <c r="F18" i="8"/>
  <c r="E48" i="11"/>
  <c r="F53" i="11"/>
  <c r="E11" i="8"/>
  <c r="E15" i="8"/>
  <c r="E19" i="8"/>
  <c r="G53" i="11"/>
  <c r="E51" i="11"/>
  <c r="F11" i="8"/>
  <c r="F15" i="8"/>
  <c r="F19" i="8"/>
  <c r="E104" i="11"/>
  <c r="E50" i="11"/>
  <c r="F12" i="8"/>
  <c r="F16" i="8"/>
  <c r="E56" i="11"/>
  <c r="E13" i="8"/>
  <c r="C49" i="11"/>
  <c r="F49" i="11"/>
  <c r="G56" i="11"/>
  <c r="K97" i="11"/>
  <c r="F48" i="11"/>
  <c r="F56" i="11"/>
  <c r="C55" i="11"/>
  <c r="E53" i="11"/>
  <c r="G51" i="11"/>
  <c r="D50" i="11"/>
  <c r="G48" i="11"/>
  <c r="G54" i="11"/>
  <c r="D53" i="11"/>
  <c r="F51" i="11"/>
  <c r="C50" i="11"/>
  <c r="G57" i="11"/>
  <c r="D56" i="11"/>
  <c r="F54" i="11"/>
  <c r="C53" i="11"/>
  <c r="G49" i="11"/>
  <c r="F57" i="11"/>
  <c r="C56" i="11"/>
  <c r="D51" i="11"/>
  <c r="E57" i="11"/>
  <c r="G55" i="11"/>
  <c r="D54" i="11"/>
  <c r="F52" i="11"/>
  <c r="C51" i="11"/>
  <c r="E49" i="11"/>
  <c r="C104" i="11"/>
  <c r="D57" i="11"/>
  <c r="F55" i="11"/>
  <c r="C54" i="11"/>
  <c r="E52" i="11"/>
  <c r="G50" i="11"/>
  <c r="D49" i="11"/>
  <c r="D104" i="11"/>
  <c r="D48" i="11"/>
  <c r="C57" i="11"/>
  <c r="K86" i="11"/>
  <c r="K90" i="11"/>
  <c r="K94" i="11"/>
  <c r="K87" i="11"/>
  <c r="K91" i="11"/>
  <c r="K95" i="11"/>
  <c r="K88" i="11"/>
  <c r="K92" i="11"/>
  <c r="K96" i="11"/>
  <c r="K89" i="11"/>
  <c r="K93" i="11"/>
  <c r="M65" i="12" l="1"/>
  <c r="I65" i="12"/>
  <c r="J65" i="12"/>
  <c r="L65" i="12"/>
  <c r="K65" i="12"/>
  <c r="D50" i="12"/>
  <c r="E50" i="12"/>
  <c r="F50" i="12"/>
  <c r="G50" i="12"/>
  <c r="C50" i="12"/>
  <c r="J33" i="12"/>
  <c r="F34" i="12" s="1"/>
  <c r="K33" i="12"/>
  <c r="M33" i="12"/>
  <c r="L33" i="12"/>
  <c r="H17" i="12"/>
  <c r="Q35" i="8"/>
  <c r="N10" i="8"/>
  <c r="M11" i="8" s="1"/>
  <c r="M10" i="8"/>
  <c r="I22" i="8"/>
  <c r="Q36" i="8" s="1"/>
  <c r="F66" i="12" l="1"/>
  <c r="E66" i="12"/>
  <c r="G66" i="12"/>
  <c r="C66" i="12"/>
  <c r="D66" i="12"/>
  <c r="H50" i="12"/>
  <c r="M50" i="12" s="1"/>
  <c r="I50" i="12"/>
  <c r="L50" i="12"/>
  <c r="J50" i="12"/>
  <c r="E34" i="12"/>
  <c r="G34" i="12"/>
  <c r="D34" i="12"/>
  <c r="C34" i="12"/>
  <c r="J17" i="12"/>
  <c r="L17" i="12"/>
  <c r="I17" i="12"/>
  <c r="M17" i="12"/>
  <c r="K17" i="12"/>
  <c r="C27" i="8"/>
  <c r="N11" i="8"/>
  <c r="D29" i="8" s="1"/>
  <c r="C29" i="8"/>
  <c r="C31" i="8"/>
  <c r="C34" i="8"/>
  <c r="C35" i="8"/>
  <c r="C33" i="8"/>
  <c r="C36" i="8"/>
  <c r="C28" i="8"/>
  <c r="C30" i="8"/>
  <c r="C32" i="8"/>
  <c r="D27" i="8"/>
  <c r="D35" i="8"/>
  <c r="D34" i="8"/>
  <c r="D33" i="8"/>
  <c r="D31" i="8"/>
  <c r="D28" i="8"/>
  <c r="H66" i="12" l="1"/>
  <c r="I66" i="12" s="1"/>
  <c r="M66" i="12"/>
  <c r="K66" i="12"/>
  <c r="J66" i="12"/>
  <c r="L66" i="12"/>
  <c r="K50" i="12"/>
  <c r="C51" i="12" s="1"/>
  <c r="H34" i="12"/>
  <c r="L34" i="12" s="1"/>
  <c r="I34" i="12"/>
  <c r="M34" i="12"/>
  <c r="K34" i="12"/>
  <c r="F18" i="12"/>
  <c r="E18" i="12"/>
  <c r="C18" i="12"/>
  <c r="G18" i="12"/>
  <c r="D18" i="12"/>
  <c r="D36" i="8"/>
  <c r="D32" i="8"/>
  <c r="D30" i="8"/>
  <c r="D38" i="8"/>
  <c r="D67" i="12" l="1"/>
  <c r="C67" i="12"/>
  <c r="E67" i="12"/>
  <c r="F67" i="12"/>
  <c r="G67" i="12"/>
  <c r="G51" i="12"/>
  <c r="E51" i="12"/>
  <c r="D51" i="12"/>
  <c r="F51" i="12"/>
  <c r="G35" i="12"/>
  <c r="J34" i="12"/>
  <c r="D35" i="12" s="1"/>
  <c r="H18" i="12"/>
  <c r="L18" i="12" s="1"/>
  <c r="J18" i="12"/>
  <c r="K18" i="12"/>
  <c r="H67" i="12" l="1"/>
  <c r="I67" i="12"/>
  <c r="M67" i="12"/>
  <c r="L67" i="12"/>
  <c r="K67" i="12"/>
  <c r="J67" i="12"/>
  <c r="H51" i="12"/>
  <c r="I51" i="12" s="1"/>
  <c r="C35" i="12"/>
  <c r="F35" i="12"/>
  <c r="E35" i="12"/>
  <c r="I18" i="12"/>
  <c r="M18" i="12"/>
  <c r="E19" i="12" s="1"/>
  <c r="F68" i="12" l="1"/>
  <c r="G68" i="12"/>
  <c r="C68" i="12"/>
  <c r="D68" i="12"/>
  <c r="E68" i="12"/>
  <c r="M51" i="12"/>
  <c r="L51" i="12"/>
  <c r="K51" i="12"/>
  <c r="F52" i="12" s="1"/>
  <c r="J51" i="12"/>
  <c r="D52" i="12" s="1"/>
  <c r="H35" i="12"/>
  <c r="F19" i="12"/>
  <c r="D19" i="12"/>
  <c r="G19" i="12"/>
  <c r="C19" i="12"/>
  <c r="D66" i="11"/>
  <c r="H68" i="12" l="1"/>
  <c r="I68" i="12"/>
  <c r="K68" i="12"/>
  <c r="M68" i="12"/>
  <c r="J68" i="12"/>
  <c r="L68" i="12"/>
  <c r="G52" i="12"/>
  <c r="E52" i="12"/>
  <c r="C52" i="12"/>
  <c r="J35" i="12"/>
  <c r="M35" i="12"/>
  <c r="I35" i="12"/>
  <c r="L35" i="12"/>
  <c r="K35" i="12"/>
  <c r="H19" i="12"/>
  <c r="K19" i="12" s="1"/>
  <c r="M19" i="12"/>
  <c r="L19" i="12"/>
  <c r="E66" i="11"/>
  <c r="C69" i="12" l="1"/>
  <c r="D69" i="12"/>
  <c r="E69" i="12"/>
  <c r="F69" i="12"/>
  <c r="G69" i="12"/>
  <c r="H52" i="12"/>
  <c r="I52" i="12"/>
  <c r="K52" i="12"/>
  <c r="M52" i="12"/>
  <c r="F36" i="12"/>
  <c r="G36" i="12"/>
  <c r="C36" i="12"/>
  <c r="D36" i="12"/>
  <c r="E36" i="12"/>
  <c r="J19" i="12"/>
  <c r="I19" i="12"/>
  <c r="G66" i="11"/>
  <c r="G67" i="11" s="1"/>
  <c r="K70" i="11" s="1"/>
  <c r="E67" i="11"/>
  <c r="K68" i="11" s="1"/>
  <c r="D67" i="11"/>
  <c r="K67" i="11" s="1"/>
  <c r="F67" i="11"/>
  <c r="K69" i="11" s="1"/>
  <c r="C67" i="11"/>
  <c r="C68" i="11" s="1"/>
  <c r="H69" i="12" l="1"/>
  <c r="M69" i="12" s="1"/>
  <c r="J52" i="12"/>
  <c r="C53" i="12" s="1"/>
  <c r="L52" i="12"/>
  <c r="H36" i="12"/>
  <c r="J36" i="12" s="1"/>
  <c r="I36" i="12"/>
  <c r="L36" i="12"/>
  <c r="E20" i="12"/>
  <c r="F20" i="12"/>
  <c r="D20" i="12"/>
  <c r="C20" i="12"/>
  <c r="G20" i="12"/>
  <c r="K66" i="11"/>
  <c r="D68" i="11"/>
  <c r="E68" i="11" s="1"/>
  <c r="F68" i="11" s="1"/>
  <c r="G68" i="11" s="1"/>
  <c r="J69" i="12" l="1"/>
  <c r="L69" i="12"/>
  <c r="I69" i="12"/>
  <c r="K69" i="12"/>
  <c r="G53" i="12"/>
  <c r="D53" i="12"/>
  <c r="F53" i="12"/>
  <c r="E53" i="12"/>
  <c r="M36" i="12"/>
  <c r="K36" i="12"/>
  <c r="C37" i="12" s="1"/>
  <c r="H20" i="12"/>
  <c r="K20" i="12" s="1"/>
  <c r="I20" i="12"/>
  <c r="L20" i="12"/>
  <c r="F70" i="12" l="1"/>
  <c r="G70" i="12"/>
  <c r="C70" i="12"/>
  <c r="D70" i="12"/>
  <c r="E70" i="12"/>
  <c r="H53" i="12"/>
  <c r="I53" i="12" s="1"/>
  <c r="G37" i="12"/>
  <c r="D37" i="12"/>
  <c r="F37" i="12"/>
  <c r="E37" i="12"/>
  <c r="J20" i="12"/>
  <c r="M20" i="12"/>
  <c r="H70" i="12" l="1"/>
  <c r="J70" i="12" s="1"/>
  <c r="M70" i="12"/>
  <c r="K70" i="12"/>
  <c r="L70" i="12"/>
  <c r="M53" i="12"/>
  <c r="L53" i="12"/>
  <c r="J53" i="12"/>
  <c r="E54" i="12" s="1"/>
  <c r="K53" i="12"/>
  <c r="H37" i="12"/>
  <c r="I37" i="12" s="1"/>
  <c r="C21" i="12"/>
  <c r="G21" i="12"/>
  <c r="E21" i="12"/>
  <c r="D21" i="12"/>
  <c r="F21" i="12"/>
  <c r="I70" i="12" l="1"/>
  <c r="G54" i="12"/>
  <c r="D54" i="12"/>
  <c r="C54" i="12"/>
  <c r="F54" i="12"/>
  <c r="M37" i="12"/>
  <c r="L37" i="12"/>
  <c r="K37" i="12"/>
  <c r="G38" i="12" s="1"/>
  <c r="J37" i="12"/>
  <c r="F38" i="12" s="1"/>
  <c r="H21" i="12"/>
  <c r="D71" i="12" l="1"/>
  <c r="F71" i="12"/>
  <c r="C71" i="12"/>
  <c r="E71" i="12"/>
  <c r="G71" i="12"/>
  <c r="H54" i="12"/>
  <c r="K54" i="12" s="1"/>
  <c r="I54" i="12"/>
  <c r="L54" i="12"/>
  <c r="J54" i="12"/>
  <c r="M54" i="12"/>
  <c r="C38" i="12"/>
  <c r="E38" i="12"/>
  <c r="D38" i="12"/>
  <c r="K21" i="12"/>
  <c r="I21" i="12"/>
  <c r="M21" i="12"/>
  <c r="J21" i="12"/>
  <c r="L21" i="12"/>
  <c r="H71" i="12" l="1"/>
  <c r="K71" i="12" s="1"/>
  <c r="C55" i="12"/>
  <c r="D55" i="12"/>
  <c r="E55" i="12"/>
  <c r="F55" i="12"/>
  <c r="G55" i="12"/>
  <c r="H38" i="12"/>
  <c r="I38" i="12"/>
  <c r="F22" i="12"/>
  <c r="G22" i="12"/>
  <c r="E22" i="12"/>
  <c r="D22" i="12"/>
  <c r="C22" i="12"/>
  <c r="J71" i="12" l="1"/>
  <c r="M71" i="12"/>
  <c r="L71" i="12"/>
  <c r="I71" i="12"/>
  <c r="H55" i="12"/>
  <c r="L55" i="12" s="1"/>
  <c r="I55" i="12"/>
  <c r="L38" i="12"/>
  <c r="M38" i="12"/>
  <c r="K38" i="12"/>
  <c r="E39" i="12" s="1"/>
  <c r="J38" i="12"/>
  <c r="D39" i="12" s="1"/>
  <c r="H22" i="12"/>
  <c r="L22" i="12" s="1"/>
  <c r="K22" i="12"/>
  <c r="M22" i="12"/>
  <c r="K55" i="12" l="1"/>
  <c r="M55" i="12"/>
  <c r="J55" i="12"/>
  <c r="F39" i="12"/>
  <c r="C39" i="12"/>
  <c r="G39" i="12"/>
  <c r="I22" i="12"/>
  <c r="J22" i="12"/>
  <c r="C23" i="12" s="1"/>
  <c r="H39" i="12" l="1"/>
  <c r="L39" i="12"/>
  <c r="E23" i="12"/>
  <c r="G23" i="12"/>
  <c r="F23" i="12"/>
  <c r="D23" i="12"/>
  <c r="H23" i="12" s="1"/>
  <c r="J39" i="12" l="1"/>
  <c r="K39" i="12"/>
  <c r="I39" i="12"/>
  <c r="M39" i="12"/>
  <c r="I23" i="12"/>
  <c r="G30" i="12"/>
  <c r="C26" i="12"/>
  <c r="L23" i="12"/>
  <c r="E29" i="12" s="1"/>
  <c r="J23" i="12"/>
  <c r="D26" i="12" s="1"/>
  <c r="M23" i="12"/>
  <c r="F30" i="12" s="1"/>
  <c r="K23" i="12"/>
  <c r="F28" i="12" s="1"/>
  <c r="G26" i="12" l="1"/>
  <c r="G27" i="12"/>
  <c r="G29" i="12"/>
  <c r="D29" i="12"/>
  <c r="D30" i="12"/>
  <c r="D28" i="12"/>
  <c r="F26" i="12"/>
  <c r="D27" i="12"/>
  <c r="E28" i="12"/>
  <c r="C30" i="12"/>
  <c r="E27" i="12"/>
  <c r="G28" i="12"/>
  <c r="E26" i="12"/>
  <c r="C27" i="12"/>
  <c r="D32" i="12" s="1"/>
  <c r="E30" i="12"/>
  <c r="C32" i="12"/>
  <c r="C29" i="12"/>
  <c r="C28" i="12"/>
  <c r="F27" i="12"/>
  <c r="F29" i="12"/>
  <c r="G32" i="12" l="1"/>
  <c r="E32" i="12"/>
  <c r="F32" i="12"/>
  <c r="H32" i="12" l="1"/>
  <c r="J32" i="12" l="1"/>
  <c r="I32" i="12"/>
  <c r="M32" i="12"/>
  <c r="L32" i="12"/>
  <c r="K3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Ravichandran Vaidyanathan</author>
  </authors>
  <commentList>
    <comment ref="O11" authorId="0" shapeId="0" xr:uid="{EEE335E0-2A4E-414F-BFA9-24453AC1300E}">
      <text>
        <r>
          <rPr>
            <b/>
            <sz val="10"/>
            <color rgb="FF000000"/>
            <rFont val="Tahoma"/>
            <family val="2"/>
          </rPr>
          <t>Ravichandran Vaidyanathan:</t>
        </r>
        <r>
          <rPr>
            <sz val="10"/>
            <color rgb="FF000000"/>
            <rFont val="Tahoma"/>
            <family val="2"/>
          </rPr>
          <t xml:space="preserve">
From trace identity: Σλᵢ = trace(R) = p = 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<sst xmlns="http://schemas.openxmlformats.org/spreadsheetml/2006/main" count="456" uniqueCount="377">
  <si>
    <t>Principal Component Analysis (PCA) for Multiple Linear Regression (MLR)</t>
  </si>
  <si>
    <t>Comprehensive Q&amp;A Notes • Illustrations • Hyperlinked Table of Contents</t>
  </si>
  <si>
    <t>📑 Table of Contents</t>
  </si>
  <si>
    <t>Topic</t>
  </si>
  <si>
    <t>What you'll learn</t>
  </si>
  <si>
    <t>Section 1</t>
  </si>
  <si>
    <t>Quick refresher on Multiple Linear Regression — equation, assumptions, OLS.</t>
  </si>
  <si>
    <t>Section 2</t>
  </si>
  <si>
    <t>Multicollinearity — why correlated predictors break MLR, and how to spot it (VIF).</t>
  </si>
  <si>
    <t>Section 3</t>
  </si>
  <si>
    <t>What PCA is, in plain English. Rotating axes to capture maximum variance.</t>
  </si>
  <si>
    <t>Section 4</t>
  </si>
  <si>
    <t>Covariance matrix, eigenvalues, eigenvectors, and explained variance.</t>
  </si>
  <si>
    <t>Section 5</t>
  </si>
  <si>
    <t>The full PCA recipe — standardize, decompose, project, choose k components.</t>
  </si>
  <si>
    <t>Section 6</t>
  </si>
  <si>
    <t>Combining PCA with MLR — how PCR works and when to use it.</t>
  </si>
  <si>
    <t>Section 7</t>
  </si>
  <si>
    <t>Numerical example: 2-variable dataset with charts showing PC1 &amp; PC2 rotation.</t>
  </si>
  <si>
    <t>Section 8</t>
  </si>
  <si>
    <t>When PCR shines, when it hurts, and common mistakes to avoid.</t>
  </si>
  <si>
    <t>Section 9</t>
  </si>
  <si>
    <t>Definitions of key terms + frequently asked exam-style questions.</t>
  </si>
  <si>
    <t>💡 How to use this workbook</t>
  </si>
  <si>
    <t>• Click any colored link to jump to that section.   • Each section uses a Q&amp;A format.   • Section 7 has live charts you can interact with.   • Each section has a ⬅ Back to TOC link.</t>
  </si>
  <si>
    <t>Section 1 — Multiple Linear Regression: A Quick Recap</t>
  </si>
  <si>
    <t>Q1. What is Multiple Linear Regression (MLR)?</t>
  </si>
  <si>
    <t>MLR is a statistical method that models the relationship between ONE dependent variable (Y) and TWO OR MORE independent variables (X₁, X₂, ..., Xₚ). It extends Simple Linear Regression (which has only one X) to multiple predictors.</t>
  </si>
  <si>
    <t>Q2. What is the MLR equation?</t>
  </si>
  <si>
    <t>Y = β₀ + β₁X₁ + β₂X₂ + ... + βₚXₚ + ε</t>
  </si>
  <si>
    <t>Where:  Y = response variable  •  β₀ = intercept  •  βᵢ = coefficient (effect of Xᵢ on Y, holding others constant)  •  ε = error term</t>
  </si>
  <si>
    <t>Q3. How are the coefficients (β) estimated?</t>
  </si>
  <si>
    <t>Using Ordinary Least Squares (OLS) — we choose β values that MINIMIZE the sum of squared errors: SSE = Σ(Yᵢ − Ŷᵢ)².  The closed-form solution is:  β̂ = (XᵀX)⁻¹ XᵀY</t>
  </si>
  <si>
    <t>Q4. What are the key assumptions of MLR?</t>
  </si>
  <si>
    <t>1. Linearity — relationship between X and Y is linear.</t>
  </si>
  <si>
    <t>2. Independence — observations are independent of each other.</t>
  </si>
  <si>
    <t>3. Homoscedasticity — constant variance of errors across all X values.</t>
  </si>
  <si>
    <t>4. Normality of errors — residuals are normally distributed.</t>
  </si>
  <si>
    <t>5. No multicollinearity — predictors are NOT highly correlated with each other. 👈 This is the assumption PCA helps fix!</t>
  </si>
  <si>
    <t>Q5. How do we judge how good an MLR model is?</t>
  </si>
  <si>
    <t>• R² — proportion of variance in Y explained by the model (0 to 1, higher is better).</t>
  </si>
  <si>
    <t>• Adjusted R² — penalises adding useless variables.</t>
  </si>
  <si>
    <t>• RMSE — typical size of prediction error.</t>
  </si>
  <si>
    <t>• p-values of coefficients — are predictors statistically significant?</t>
  </si>
  <si>
    <t>💡 Key takeaway: MLR works beautifully WHEN its assumptions hold. The trouble starts when predictors are correlated → that's where PCA enters.</t>
  </si>
  <si>
    <t>Section 2 — The Problem with MLR: Multicollinearity</t>
  </si>
  <si>
    <t>Q1. What is multicollinearity?</t>
  </si>
  <si>
    <t>Multicollinearity = when two or more predictor variables (X's) in your MLR are HIGHLY CORRELATED with each other.  Example: predicting house price using both 'area in sqft' and 'number of rooms' — these move together!</t>
  </si>
  <si>
    <t>Q2. Why is multicollinearity a problem?</t>
  </si>
  <si>
    <t>When predictors carry overlapping information, OLS cannot decide which one deserves credit. Consequences:</t>
  </si>
  <si>
    <t>• Coefficient estimates (β) become UNSTABLE — small data changes → huge coefficient swings.</t>
  </si>
  <si>
    <t>• Standard errors INFLATE — t-values shrink, predictors look insignificant even if they matter.</t>
  </si>
  <si>
    <t>• Signs of coefficients may flip (positive becomes negative) — makes no business sense.</t>
  </si>
  <si>
    <t>• The (XᵀX) matrix becomes near-singular → (XᵀX)⁻¹ explodes → inverse computation fails.</t>
  </si>
  <si>
    <t>• Overall R² may stay high, but individual predictor inference is unreliable.</t>
  </si>
  <si>
    <t>Q3. How do we detect multicollinearity?</t>
  </si>
  <si>
    <t>1. Correlation matrix — if |r| &gt; 0.8 between predictors, suspect multicollinearity.</t>
  </si>
  <si>
    <t>2. Variance Inflation Factor (VIF) — VIFᵢ = 1 / (1 − Rᵢ²) where Rᵢ² is from regressing Xᵢ on all other X's.</t>
  </si>
  <si>
    <t xml:space="preserve">    Rule of thumb:  VIF = 1 (no issue)  •  VIF 1–5 (moderate, often OK)  •  VIF &gt; 10 (serious problem!)</t>
  </si>
  <si>
    <t>3. Eigenvalues of correlation matrix near zero → near-singular system.</t>
  </si>
  <si>
    <t>4. Condition Number &gt; 30 also signals trouble.</t>
  </si>
  <si>
    <t>Q4. What are the usual fixes?</t>
  </si>
  <si>
    <t>• Drop one of the correlated variables (loses information).</t>
  </si>
  <si>
    <t>• Combine variables manually (e.g., create a ratio).</t>
  </si>
  <si>
    <t>• Use Ridge Regression (penalised regression).</t>
  </si>
  <si>
    <t>• ⭐ Use Principal Component Analysis (PCA) → build new uncorrelated predictors. (Our focus!)</t>
  </si>
  <si>
    <t>💡 Mini example: If X₁ = height in inches and X₂ = height in cm, they're perfectly correlated (r=1). MLR cannot separate their effects on Y. PCA would merge them into ONE component.</t>
  </si>
  <si>
    <t>Section 3 — Principal Component Analysis: The Intuition</t>
  </si>
  <si>
    <t>Q1. What is PCA in one sentence?</t>
  </si>
  <si>
    <t>PCA is a technique that TRANSFORMS your original correlated variables into a smaller set of NEW UNCORRELATED variables (called principal components) that retain most of the information.</t>
  </si>
  <si>
    <t>Q2. What's the everyday analogy?</t>
  </si>
  <si>
    <t>Imagine photographing a 3D object — the best 2D photo is the one taken from the angle showing the MOST detail (the most variance). PCA finds those 'best angles' (axes) mathematically.</t>
  </si>
  <si>
    <t>Another: A swarm of points stretched diagonally on a graph. Rotating your axes so the longest spread is on one axis = PC1. PC1 alone tells you most of the story.</t>
  </si>
  <si>
    <t>Q3. What is a 'principal component'?</t>
  </si>
  <si>
    <t>A principal component is a LINEAR COMBINATION of the original variables:</t>
  </si>
  <si>
    <t>PC1 = w₁₁·X₁ + w₁₂·X₂ + ... + w₁ₚ·Xₚ</t>
  </si>
  <si>
    <t>The weights (w) are chosen so PC1 captures MAXIMUM variance. PC2 captures the next-most variance AND is uncorrelated with PC1. And so on.</t>
  </si>
  <si>
    <t>Q4. What three magic properties do PCs have?</t>
  </si>
  <si>
    <t>1. 🔗 ORTHOGONAL — PCs are perpendicular to each other → ZERO correlation among them.</t>
  </si>
  <si>
    <t>2. 📊 ORDERED — PC1 explains the most variance, PC2 the next, etc.</t>
  </si>
  <si>
    <t>3. 🎯 MAX VARIANCE — Each PC captures as much variance as possible, given the previous ones.</t>
  </si>
  <si>
    <t>Q5. How does this help with MLR?</t>
  </si>
  <si>
    <t>Because PCs are UNCORRELATED, plugging them into MLR as predictors completely solves the multicollinearity problem. We can also drop low-variance PCs to reduce dimensionality.</t>
  </si>
  <si>
    <t>📐 ASCII picture of PC1 and PC2:</t>
  </si>
  <si>
    <t xml:space="preserve">          X2</t>
  </si>
  <si>
    <t xml:space="preserve">          ↑         ↗ PC1 (max spread direction)</t>
  </si>
  <si>
    <t xml:space="preserve">          |       • • •</t>
  </si>
  <si>
    <t xml:space="preserve">          |    • • • •</t>
  </si>
  <si>
    <t xml:space="preserve">          |  • • • •  ↖ PC2 (perpendicular, smaller spread)</t>
  </si>
  <si>
    <t xml:space="preserve">          |• • •</t>
  </si>
  <si>
    <t xml:space="preserve">          +-------------------→  X1</t>
  </si>
  <si>
    <t>💡 Takeaway: PCA = ROTATION of axes to align with the directions of greatest data spread. It DOES NOT delete information — it REORGANISES it.</t>
  </si>
  <si>
    <t>Section 4 — The Math Behind PCA</t>
  </si>
  <si>
    <t>Q1. What is the covariance matrix and why do we care?</t>
  </si>
  <si>
    <t xml:space="preserve">    Cov(X) = (1/(n-1))·(X−X̄)ᵀ(X−X̄)</t>
  </si>
  <si>
    <t>Q2. What are eigenvalues and eigenvectors?</t>
  </si>
  <si>
    <t>For a square matrix A, a vector v and scalar λ satisfying  A·v = λ·v  are called an EIGENVECTOR and EIGENVALUE.</t>
  </si>
  <si>
    <t>• Eigenvector = direction that doesn't change when A acts on it (only stretched).</t>
  </si>
  <si>
    <t>• Eigenvalue = stretching factor (how much variance is in that direction).</t>
  </si>
  <si>
    <t>Q3. How do PCs come from eigen-decomposition?</t>
  </si>
  <si>
    <t>Decompose the covariance matrix:  Σ = V·Λ·Vᵀ</t>
  </si>
  <si>
    <t>• V = columns are eigenvectors = directions of PCs (these are the 'loadings').</t>
  </si>
  <si>
    <t>• Λ = diagonal matrix of eigenvalues = variance captured by each PC.</t>
  </si>
  <si>
    <t>Sort eigenvalues descending. The largest λ → PC1, next → PC2, etc.</t>
  </si>
  <si>
    <t>Q4. What is 'explained variance'?</t>
  </si>
  <si>
    <t>The proportion of total variance captured by PCᵢ:  λᵢ / Σλ</t>
  </si>
  <si>
    <t>Example: if λ = [4, 1, 0.2], total = 5.2  →  PC1 = 76.9%, PC2 = 19.2%, PC3 = 3.8% of variance.</t>
  </si>
  <si>
    <t>Q5. What about SVD (Singular Value Decomposition)?</t>
  </si>
  <si>
    <t>An equivalent (and more numerically stable) way:  X = U·S·Vᵀ.  Right singular vectors V = eigenvectors of XᵀX = PC directions. Squared singular values relate to eigenvalues.</t>
  </si>
  <si>
    <t>Q6. How do we compute the PC scores?</t>
  </si>
  <si>
    <t>Project the (centred) data onto eigenvectors:  Z = X_centered · V</t>
  </si>
  <si>
    <t>Z is the matrix of PC SCORES — the coordinates of each observation in the new PC space. These scores are what you feed into MLR.</t>
  </si>
  <si>
    <t>💡 Mental model:  Cov matrix → eigen-decomposition → sorted eigenvectors = new axes; eigenvalues tell you how much variance lives on each new axis.</t>
  </si>
  <si>
    <t>Section 5 — PCA Step-by-Step Recipe</t>
  </si>
  <si>
    <t>The 7-step PCA workflow</t>
  </si>
  <si>
    <t>STEP 1 — Organise the data</t>
  </si>
  <si>
    <t>Arrange data as a matrix X of size n×p (n rows = observations, p columns = predictor variables). DO NOT include the response variable Y in PCA.</t>
  </si>
  <si>
    <t>STEP 2 — Centre (and Standardise) the data</t>
  </si>
  <si>
    <t>Subtract each column's mean (centre). If variables are on different scales (e.g., kg vs $), also divide by std dev (standardise) so PCA isn't dominated by large-scale variables. This step is CRITICAL.</t>
  </si>
  <si>
    <t xml:space="preserve">    Z = (X − μ) / σ</t>
  </si>
  <si>
    <t>STEP 3 — Compute the covariance (or correlation) matrix</t>
  </si>
  <si>
    <t>If standardised → use correlation matrix.  Size = p×p.</t>
  </si>
  <si>
    <t>STEP 4 — Eigen-decompose the matrix</t>
  </si>
  <si>
    <t>Get p eigenvalues (λ₁ ≥ λ₂ ≥ ... ≥ λₚ) and corresponding eigenvectors.</t>
  </si>
  <si>
    <t>STEP 5 — Choose number of components (k)</t>
  </si>
  <si>
    <t>Common rules:</t>
  </si>
  <si>
    <t xml:space="preserve">  • Cumulative variance rule — keep enough PCs to cover ~80–95% of total variance.</t>
  </si>
  <si>
    <t xml:space="preserve">  • Kaiser's rule — keep PCs with eigenvalue &gt; 1 (when using correlation matrix).</t>
  </si>
  <si>
    <t xml:space="preserve">  • Scree plot — plot eigenvalues; keep PCs before the 'elbow' (sharp bend).</t>
  </si>
  <si>
    <t xml:space="preserve">  • Cross-validation — for PCR, choose k that minimises prediction error.</t>
  </si>
  <si>
    <t>STEP 6 — Project data onto chosen components</t>
  </si>
  <si>
    <t>Z_scores = Z · V_k  (V_k = first k eigenvectors). Result: n×k matrix of PC scores.</t>
  </si>
  <si>
    <t>STEP 7 — Use PC scores in your analysis</t>
  </si>
  <si>
    <t>Feed Z_scores into MLR → Principal Component Regression (PCR). The new predictors are uncorrelated by construction.</t>
  </si>
  <si>
    <t>⚠️ Common mistake: forgetting to standardise. A 'sales (in $)' variable will dwarf 'unit count' and bias PC1 simply because of scale.</t>
  </si>
  <si>
    <t>Section 6 — Principal Component Regression (PCR)</t>
  </si>
  <si>
    <t>Q1. What is PCR?</t>
  </si>
  <si>
    <t>Principal Component Regression = PCA followed by MLR. Instead of regressing Y on X₁...Xₚ, we regress Y on the principal components (PC scores) Z₁...Z_k.</t>
  </si>
  <si>
    <t>Q2. What is the PCR equation?</t>
  </si>
  <si>
    <t>Y = α₀ + α₁Z₁ + α₂Z₂ + ... + α_k Z_k + ε</t>
  </si>
  <si>
    <t>Where Z₁...Z_k are PC scores. Since they're uncorrelated, each α is independently and stably estimated.</t>
  </si>
  <si>
    <t>Q3. How do I get back to coefficients on the ORIGINAL variables?</t>
  </si>
  <si>
    <t>Use the loadings (V_k) to translate:  β̂ = V_k · α̂</t>
  </si>
  <si>
    <t>If you standardised X, you must also rescale β back to original units using the column std devs.</t>
  </si>
  <si>
    <t>Q4. Full PCR workflow (cheat sheet)</t>
  </si>
  <si>
    <t>1. Standardise X.   2. Run PCA → obtain scores Z and loadings V.   3. Decide k (variance cutoff / CV).</t>
  </si>
  <si>
    <t>4. Fit OLS:  Y on Z₁...Z_k.   5. (Optional) Map back to original β.   6. Predict Y for new x by applying the same transformations.</t>
  </si>
  <si>
    <t>Q5. Why does PCR cure multicollinearity?</t>
  </si>
  <si>
    <t>Because PCs are orthogonal → the matrix (ZᵀZ) is diagonal → (ZᵀZ)⁻¹ exists cleanly → no inflated standard errors, no flipped signs.</t>
  </si>
  <si>
    <t>Q6. PCR vs Ridge vs PLS — quick contrast</t>
  </si>
  <si>
    <t>• PCR — transforms X using variance in X only (ignores Y). Drops low-variance PCs.</t>
  </si>
  <si>
    <t>• Ridge — shrinks coefficients by adding λ·‖β‖² penalty; keeps all variables.</t>
  </si>
  <si>
    <t>• PLS — like PCR, but builds components that explain BOTH X-variance AND Y-correlation. Often better predictively.</t>
  </si>
  <si>
    <t>⚠️ Caveat: PC1 captures most variance in X — but that doesn't guarantee it best predicts Y. Sometimes a low-variance PC carries the Y signal. Always validate.</t>
  </si>
  <si>
    <t>Section 7 — Worked Illustration: PCA on a 2-variable Dataset</t>
  </si>
  <si>
    <t>Scenario: Two predictors X₁ and X₂ are highly correlated (e.g., height in cm and weight in kg).</t>
  </si>
  <si>
    <t>We'll compute means, centred values, covariance, eigen-decomposition, and PC scores — all using live formulas.</t>
  </si>
  <si>
    <t>🔹 Raw Data</t>
  </si>
  <si>
    <t>Obs</t>
  </si>
  <si>
    <t>X₁</t>
  </si>
  <si>
    <t>X₂</t>
  </si>
  <si>
    <t>X₁−μ₁ (centred)</t>
  </si>
  <si>
    <t>X₂−μ₂ (centred)</t>
  </si>
  <si>
    <t>Mean (μ)</t>
  </si>
  <si>
    <t>Std Dev (σ)</t>
  </si>
  <si>
    <t>Correlation r(X₁,X₂)</t>
  </si>
  <si>
    <t>← high → multicollinear!</t>
  </si>
  <si>
    <t>🔹 Covariance Matrix Σ (2×2)</t>
  </si>
  <si>
    <t>🔹 Eigenvalues (closed-form for 2×2)</t>
  </si>
  <si>
    <t>Trace (a+d)</t>
  </si>
  <si>
    <t>Det (ad−bc)</t>
  </si>
  <si>
    <t>Discriminant</t>
  </si>
  <si>
    <t>λ₁ (largest)</t>
  </si>
  <si>
    <t>λ₂</t>
  </si>
  <si>
    <t>🔹 Explained Variance</t>
  </si>
  <si>
    <t>PC1 %</t>
  </si>
  <si>
    <t>PC2 %</t>
  </si>
  <si>
    <t>🔹 Eigenvectors (loadings)</t>
  </si>
  <si>
    <t>Direction</t>
  </si>
  <si>
    <t>v(X₁)</t>
  </si>
  <si>
    <t>v(X₂)</t>
  </si>
  <si>
    <t>PC1</t>
  </si>
  <si>
    <t>PC2</t>
  </si>
  <si>
    <t>→ PC1 ≈ 0.677·X₁ + 0.735·X₂ (both positive → 'overall size' axis)</t>
  </si>
  <si>
    <t>🔹 PC Scores (Projection of centred data onto eigenvectors)</t>
  </si>
  <si>
    <t>PC1 Score</t>
  </si>
  <si>
    <t>PC2 Score</t>
  </si>
  <si>
    <t>✅ Sanity check: correlation between PC1 and PC2 scores =</t>
  </si>
  <si>
    <t>← essentially zero → PCs are uncorrelated!</t>
  </si>
  <si>
    <t>📊 What the charts to the right show</t>
  </si>
  <si>
    <t>Chart 1 — ORIGINAL data with X₁ vs X₂: notice the diagonal stretch (correlation ~0.93).</t>
  </si>
  <si>
    <t>Chart 2 — TRANSFORMED data (PC1 vs PC2 scores): the cloud is now horizontally spread along PC1 with almost no spread on PC2 → multicollinearity is gone.</t>
  </si>
  <si>
    <t>Chart 3 — Explained variance: PC1 alone captures ~96% of the variance. We could keep ONLY PC1 in MLR with minimal information loss.</t>
  </si>
  <si>
    <t>🎓 Lesson: With one PC instead of two correlated X's, MLR becomes simpler, stabler, and just as informative.</t>
  </si>
  <si>
    <t>PC</t>
  </si>
  <si>
    <t>Explained Variance %</t>
  </si>
  <si>
    <t>Section 8 — Pros, Cons &amp; Pitfalls of PCR</t>
  </si>
  <si>
    <t>✅ Advantages</t>
  </si>
  <si>
    <t>❌ Disadvantages / Pitfalls</t>
  </si>
  <si>
    <t>Removes multicollinearity completely — PCs are orthogonal.</t>
  </si>
  <si>
    <t>PCs are abstract — they are mathematical combinations, harder to interpret than original variables.</t>
  </si>
  <si>
    <t>Reduces dimensionality — fewer predictors → simpler model, less overfitting.</t>
  </si>
  <si>
    <t>Unsupervised — PCA ignores Y; high-variance PCs may not predict Y well.</t>
  </si>
  <si>
    <t>Numerical stability — (ZᵀZ) is diagonal, easy to invert.</t>
  </si>
  <si>
    <t>Sensitive to scaling — forgetting to standardise gives misleading components.</t>
  </si>
  <si>
    <t>Noise filtering — dropping low-variance PCs often removes noise.</t>
  </si>
  <si>
    <t>Assumes linearity — PCA only captures linear structure in the data.</t>
  </si>
  <si>
    <t>Visualisation — first 2–3 PCs let you plot high-dimensional data.</t>
  </si>
  <si>
    <t>Sensitive to outliers — a single extreme point can dominate PC directions.</t>
  </si>
  <si>
    <t>Works on any number of predictors, including p &gt; n cases (with regularised PCA).</t>
  </si>
  <si>
    <t>Choosing k (number of PCs) involves judgement — different rules give different answers.</t>
  </si>
  <si>
    <t>⚠️ Common Pitfalls (memorise these!)</t>
  </si>
  <si>
    <t>1. ❌ Forgetting to standardise when variables have different scales → largest-scale variable hijacks PC1.</t>
  </si>
  <si>
    <t>2. ❌ Including Y in the PCA — PCA is done on X only. Y is regressed on PC scores afterwards.</t>
  </si>
  <si>
    <t>3. ❌ Always keeping just PC1 — sometimes a 'small' PC carries critical predictive power for Y.</t>
  </si>
  <si>
    <t>4. ❌ Interpreting PC coefficients as causal effects — they're directions, not drivers.</t>
  </si>
  <si>
    <t>5. ❌ Applying PCA training-set means/std to NEW data — you must reuse the same μ, σ, V from training.</t>
  </si>
  <si>
    <t>🎯 When to use PCR</t>
  </si>
  <si>
    <t>• Many predictors, several highly correlated.   • You suspect noise dominates the smaller dimensions.   • Sample size n is small relative to p.   • Prediction matters more than coefficient interpretation.</t>
  </si>
  <si>
    <t>Section 9 — Glossary &amp; Frequently Asked Questions</t>
  </si>
  <si>
    <t>📖 Glossary</t>
  </si>
  <si>
    <t>Term</t>
  </si>
  <si>
    <t>Meaning</t>
  </si>
  <si>
    <t>Multicollinearity</t>
  </si>
  <si>
    <t>High correlation among predictor variables in regression, causing unstable coefficients.</t>
  </si>
  <si>
    <t>Principal Component (PC)</t>
  </si>
  <si>
    <t>Linear combination of original variables; new uncorrelated axis.</t>
  </si>
  <si>
    <t>Loading</t>
  </si>
  <si>
    <t>Weight of an original variable in a PC (entry of the eigenvector).</t>
  </si>
  <si>
    <t>Score</t>
  </si>
  <si>
    <t>Value of a PC for a specific observation (projection onto eigenvector).</t>
  </si>
  <si>
    <t>Eigenvalue (λ)</t>
  </si>
  <si>
    <t>Variance captured by its corresponding eigenvector / PC.</t>
  </si>
  <si>
    <t>Eigenvector (v)</t>
  </si>
  <si>
    <t>Direction in feature space along which variance is computed; defines a PC.</t>
  </si>
  <si>
    <t>Explained Variance</t>
  </si>
  <si>
    <t>λᵢ / Σλ — fraction of total variance captured by PCᵢ.</t>
  </si>
  <si>
    <t>Scree Plot</t>
  </si>
  <si>
    <t>Bar/line plot of eigenvalues used to choose k (look for the elbow).</t>
  </si>
  <si>
    <t>Standardisation</t>
  </si>
  <si>
    <t>Transform each variable to mean 0, std 1 before PCA.</t>
  </si>
  <si>
    <t>VIF</t>
  </si>
  <si>
    <t>Variance Inflation Factor — measures how much multicollinearity inflates a coefficient's variance.</t>
  </si>
  <si>
    <t>PCR</t>
  </si>
  <si>
    <t>Principal Component Regression — MLR using PC scores as predictors.</t>
  </si>
  <si>
    <t>PLS</t>
  </si>
  <si>
    <t>Partial Least Squares — like PCR but components also account for correlation with Y.</t>
  </si>
  <si>
    <t>SVD</t>
  </si>
  <si>
    <t>Singular Value Decomposition — stable numerical method to compute PCA.</t>
  </si>
  <si>
    <t>❓ Frequently Asked Questions</t>
  </si>
  <si>
    <t>Q1. Should I always standardise before PCA?</t>
  </si>
  <si>
    <t>A. Almost always YES when variables are on different scales/units. If all variables are already on a comparable scale (e.g., all percentages), centring alone may suffice.</t>
  </si>
  <si>
    <t>Q2. How many PCs should I keep?</t>
  </si>
  <si>
    <t>A. Use cumulative explained variance (~80–95%), scree-plot elbow, Kaiser's rule (λ&gt;1), or cross-validation. For PCR, CV with respect to prediction error is the most defensible.</t>
  </si>
  <si>
    <t>Q3. Can I interpret PCs in terms of original variables?</t>
  </si>
  <si>
    <t>A. Yes, by examining the loadings (eigenvector entries). Large absolute loadings indicate strong contribution. Often a PC represents a meaningful concept (e.g., 'overall size', 'shape contrast').</t>
  </si>
  <si>
    <t>Q4. Is PCR always better than plain MLR?</t>
  </si>
  <si>
    <t>A. No. If predictors are not multicollinear and easily interpretable, plain MLR is preferable. PCR shines under multicollinearity, high p, or when prediction trumps interpretation.</t>
  </si>
  <si>
    <t>Q5. PCR or Ridge?</t>
  </si>
  <si>
    <t>A. Ridge keeps all original variables (shrinks them); PCR drops low-variance components. Ridge usually performs equally well or better predictively, and keeps original-variable interpretability.</t>
  </si>
  <si>
    <t>Q6. Does PCA work for categorical variables?</t>
  </si>
  <si>
    <t>A. Standard PCA is for continuous numeric data. For categorical use MCA (Multiple Correspondence Analysis) or one-hot encode first (with caution).</t>
  </si>
  <si>
    <t>Q7. How do I predict for a new observation in PCR?</t>
  </si>
  <si>
    <t>A. Centre &amp; scale x_new using TRAINING μ and σ → multiply by training V_k → plug PC scores into the fitted MLR. Never recompute PCA on the new point.</t>
  </si>
  <si>
    <r>
      <t xml:space="preserve">Covariance matrix Σ (size p×p) holds the covariance between every pair of variables. Its diagonal = variances, off-diagonal = pairwise covariances. </t>
    </r>
    <r>
      <rPr>
        <sz val="22"/>
        <color rgb="FF0432FF"/>
        <rFont val="Aptos Narrow (Body)"/>
      </rPr>
      <t>PCA's job is to find directions that DIAGONALISE this matrix.</t>
    </r>
  </si>
  <si>
    <t>Section 10</t>
  </si>
  <si>
    <t>End-to-end PCR example: 12 houses, 5 correlated features, full workflow with verdict.</t>
  </si>
  <si>
    <t>Section 10 — Case Study: Predicting House Prices with PCR</t>
  </si>
  <si>
    <t>🏠 Business Problem</t>
  </si>
  <si>
    <t>🔹 Step 1 — Raw Data (n = 12 houses, p = 5 features)</t>
  </si>
  <si>
    <t>House</t>
  </si>
  <si>
    <t>Size (sqft)</t>
  </si>
  <si>
    <t>Bedrooms</t>
  </si>
  <si>
    <t>Age (yrs)</t>
  </si>
  <si>
    <t>Lot (sqft)</t>
  </si>
  <si>
    <t>Garage</t>
  </si>
  <si>
    <t>Price ($000)</t>
  </si>
  <si>
    <t>🔹 Step 2 — Spot the Problem: Correlation Matrix between predictors</t>
  </si>
  <si>
    <t>Size</t>
  </si>
  <si>
    <t>Age</t>
  </si>
  <si>
    <t>Lot</t>
  </si>
  <si>
    <t>🚨 Observation: |r| &gt; 0.9 for many pairs (Size↔Lot, Size↔Age, Size↔Bedrooms). Classic multicollinearity — plain MLR coefficients will be unstable!</t>
  </si>
  <si>
    <t>🔹 Step 3 — Plain MLR (for comparison) using LINEST</t>
  </si>
  <si>
    <t>LINEST returns coefficients in REVERSE order: β(Garage), β(Lot), β(Age), β(Bedrooms), β(Size), β₀</t>
  </si>
  <si>
    <t>Coefficient</t>
  </si>
  <si>
    <t>β(Size)</t>
  </si>
  <si>
    <t>β(Bedrooms)</t>
  </si>
  <si>
    <t>β(Age)</t>
  </si>
  <si>
    <t>β(Lot)</t>
  </si>
  <si>
    <t>β(Garage)</t>
  </si>
  <si>
    <t>Intercept</t>
  </si>
  <si>
    <t>Estimate</t>
  </si>
  <si>
    <t>Std Error</t>
  </si>
  <si>
    <t>R² of full MLR =</t>
  </si>
  <si>
    <t>(high R² hides the instability!)</t>
  </si>
  <si>
    <t>⚠️ Notice: large standard errors relative to coefficients → individual predictors look unreliable, signs may even be counter-intuitive.</t>
  </si>
  <si>
    <t>PC3</t>
  </si>
  <si>
    <t>PC4</t>
  </si>
  <si>
    <t>PC5</t>
  </si>
  <si>
    <t>% Variance</t>
  </si>
  <si>
    <t>Cumulative %</t>
  </si>
  <si>
    <t>✅ PC1 alone captures ~92%. PC1+PC2+PC3 ≈ 99% → we can keep k = 3 components and drop the rest.</t>
  </si>
  <si>
    <t>🔹 Step 5 — Loadings (Eigenvectors): how each original variable contributes to each PC</t>
  </si>
  <si>
    <t>Variable</t>
  </si>
  <si>
    <t>📝 Interpretation: PC1 has similar loadings (~0.45) on Size/Bedrooms/Lot/Garage and negative on Age → PC1 = 'overall house bigness &amp; newness'.</t>
  </si>
  <si>
    <t>🔹 Step 6 — Compute PC Scores (project standardised data onto eigenvectors)</t>
  </si>
  <si>
    <t>🔹 Step 7 — Fit MLR on PC scores (PCR with k = 3 components)</t>
  </si>
  <si>
    <t>Regress Price on PC1, PC2, PC3 only. LINEST returns coefficients in reverse order: α(PC3), α(PC2), α(PC1), α₀.</t>
  </si>
  <si>
    <t>α(PC1)</t>
  </si>
  <si>
    <t>α(PC2)</t>
  </si>
  <si>
    <t>α(PC3)</t>
  </si>
  <si>
    <t>t-statistic</t>
  </si>
  <si>
    <t>R² of PCR (k=3) =</t>
  </si>
  <si>
    <t>(matches full MLR — we lost almost no predictive power!)</t>
  </si>
  <si>
    <t>Sanity check: correlation between PC1 &amp; PC2 scores =</t>
  </si>
  <si>
    <t>(zero → PCs are orthogonal → stable coefficients)</t>
  </si>
  <si>
    <t>🏆 Step 8 — Verdict: MLR vs PCR head-to-head</t>
  </si>
  <si>
    <t>Metric</t>
  </si>
  <si>
    <t>Plain MLR (5 predictors)</t>
  </si>
  <si>
    <t>PCR (3 components)</t>
  </si>
  <si>
    <t>R²</t>
  </si>
  <si>
    <t>Predictors are multicollinear?</t>
  </si>
  <si>
    <t>YES — r up to 0.997</t>
  </si>
  <si>
    <t>NO — PCs are orthogonal</t>
  </si>
  <si>
    <t>Coefficient stability</t>
  </si>
  <si>
    <t>Unstable, inflated SE</t>
  </si>
  <si>
    <t>Stable, small SE</t>
  </si>
  <si>
    <t>All coefficients significant?</t>
  </si>
  <si>
    <t>Some look insignificant</t>
  </si>
  <si>
    <t>All |t| &gt;&gt; 2</t>
  </si>
  <si>
    <t>Number of predictors</t>
  </si>
  <si>
    <t>3 (reduced!)</t>
  </si>
  <si>
    <t>Interpretation</t>
  </si>
  <si>
    <t>Direct (per feature)</t>
  </si>
  <si>
    <t>Abstract (per PC) — use loadings to translate back</t>
  </si>
  <si>
    <t>💡 Takeaway from this case study:</t>
  </si>
  <si>
    <t>When 5 features are nearly collinear, PCR delivers the SAME predictive accuracy as plain MLR, but with FEWER predictors, NO multicollinearity, STABLE coefficients, and HIGHLY SIGNIFICANT t-stats. The trade-off is interpretability — PC1 is 'overall house size &amp; newness', not a single feature. For pure prediction this is a great deal; for explaining 'how much does ONE bedroom add', stick with domain knowledge.</t>
  </si>
  <si>
    <t>Actual</t>
  </si>
  <si>
    <t>Predicted (PCR)</t>
  </si>
  <si>
    <r>
      <t xml:space="preserve">A real-estate analyst wants to </t>
    </r>
    <r>
      <rPr>
        <b/>
        <i/>
        <u/>
        <sz val="22"/>
        <color rgb="FFFF0000"/>
        <rFont val="Aptos Narrow (Body)"/>
      </rPr>
      <t>predict house price (Y)</t>
    </r>
    <r>
      <rPr>
        <sz val="22"/>
        <color rgb="FF0432FF"/>
        <rFont val="Aptos Narrow"/>
        <family val="2"/>
        <scheme val="minor"/>
      </rPr>
      <t xml:space="preserve"> using 5 features: Size (sqft), Bedrooms, Age (years), Lot size (sqft), Garage spaces. Many of these features intuitively move together — bigger houses tend to have more bedrooms, larger lots, more garage space. Multicollinearity is likely!</t>
    </r>
  </si>
  <si>
    <t>Using Data Analysis Correlation Matrix</t>
  </si>
  <si>
    <t>Z(Size)</t>
  </si>
  <si>
    <t>Z(Bedrooms)</t>
  </si>
  <si>
    <t>Z(Age)</t>
  </si>
  <si>
    <t>Z(Lot)</t>
  </si>
  <si>
    <t>Z(Garage)</t>
  </si>
  <si>
    <t>🔹 Step 3a — Standardise X: compute Z-scores  Z = (x − μ) / σ</t>
  </si>
  <si>
    <t>Each predictor is rescaled to mean 0, std 1 so PCA isn't dominated by large-scale variables (Lot in thousands would otherwise drown out Garage in single digits).</t>
  </si>
  <si>
    <t>Stats</t>
  </si>
  <si>
    <t>Verify →</t>
  </si>
  <si>
    <t>← means of Z columns ≈ 0</t>
  </si>
  <si>
    <t>Std →</t>
  </si>
  <si>
    <t>← std devs of Z columns = 1</t>
  </si>
  <si>
    <t>✅ Standardisation complete. These Z-values are the input to PCA in the next step.</t>
  </si>
  <si>
    <t>Eigendecomposition of the 5×5 correlation matrix R</t>
  </si>
  <si>
    <t>R = ZᵀZ / (n−1), where Z is the standardised data on '10. Case Study'!C48:G59 and n = 12.</t>
  </si>
  <si>
    <t>Correlation Matrix R (5×5)</t>
  </si>
  <si>
    <t>iter</t>
  </si>
  <si>
    <t>w2</t>
  </si>
  <si>
    <t>w3</t>
  </si>
  <si>
    <t>w4</t>
  </si>
  <si>
    <t>w5</t>
  </si>
  <si>
    <t>v1</t>
  </si>
  <si>
    <t>v2</t>
  </si>
  <si>
    <t>v3</t>
  </si>
  <si>
    <t>v4</t>
  </si>
  <si>
    <t>v5</t>
  </si>
  <si>
    <t>Eigenvalue Summary</t>
  </si>
  <si>
    <t>λ</t>
  </si>
  <si>
    <t>% Var</t>
  </si>
  <si>
    <t>Sum</t>
  </si>
  <si>
    <t>w1</t>
  </si>
  <si>
    <t>PC1 — Power iteration on R (8 iterations)</t>
  </si>
  <si>
    <t>λ = ||w||</t>
  </si>
  <si>
    <t>PC2 — Deflated matrix R₂ = R − λ₁v₁v₁ᵀ, then power iterate</t>
  </si>
  <si>
    <t>PC3 — Deflated matrix R₃ = R₂ − λ₂v₂v₂ᵀ, then power iterate</t>
  </si>
  <si>
    <t>PC4 — Deflated matrix R₄ = R₃ − λ₃v₃v₃ᵀ, then power 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</si>
</sst>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%"/>
    <numFmt numFmtId="166" formatCode="0.000"/>
    <numFmt numFmtId="167" formatCode="0.0"/>
  </numFmts>
  <fonts count="5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22"/>
      <color theme="1"/>
      <name val="Aptos Narrow"/>
      <family val="2"/>
      <scheme val="minor"/>
    </font>
    <font>
      <i/>
      <sz val="22"/>
      <color rgb="FF4B5563"/>
      <name val="Aptos Narrow"/>
      <family val="2"/>
      <scheme val="minor"/>
    </font>
    <font>
      <b/>
      <u/>
      <sz val="22"/>
      <color rgb="FF1F4E79"/>
      <name val="Aptos Narrow"/>
      <family val="2"/>
      <scheme val="minor"/>
    </font>
    <font>
      <b/>
      <sz val="22"/>
      <color rgb="FF000000"/>
      <name val="Aptos Narrow"/>
      <family val="2"/>
      <scheme val="minor"/>
    </font>
    <font>
      <b/>
      <sz val="22"/>
      <color rgb="FF1F2937"/>
      <name val="Aptos Narrow"/>
      <family val="2"/>
      <scheme val="minor"/>
    </font>
    <font>
      <sz val="22"/>
      <color rgb="FF4B5563"/>
      <name val="Aptos Narrow"/>
      <family val="2"/>
      <scheme val="minor"/>
    </font>
    <font>
      <b/>
      <u/>
      <sz val="22"/>
      <color rgb="FF4472C4"/>
      <name val="Aptos Narrow"/>
      <family val="2"/>
      <scheme val="minor"/>
    </font>
    <font>
      <sz val="22"/>
      <color rgb="FF1F2937"/>
      <name val="Aptos Narrow"/>
      <family val="2"/>
      <scheme val="minor"/>
    </font>
    <font>
      <b/>
      <sz val="22"/>
      <color theme="1"/>
      <name val="Consolas"/>
      <family val="2"/>
    </font>
    <font>
      <b/>
      <sz val="22"/>
      <color rgb="FFC00000"/>
      <name val="Aptos Narrow"/>
      <family val="2"/>
      <scheme val="minor"/>
    </font>
    <font>
      <b/>
      <i/>
      <sz val="22"/>
      <color rgb="FF1F2937"/>
      <name val="Aptos Narrow"/>
      <family val="2"/>
      <scheme val="minor"/>
    </font>
    <font>
      <b/>
      <u/>
      <sz val="22"/>
      <color rgb="FFED7D31"/>
      <name val="Aptos Narrow"/>
      <family val="2"/>
      <scheme val="minor"/>
    </font>
    <font>
      <sz val="22"/>
      <color rgb="FF4B5563"/>
      <name val="Consolas"/>
      <family val="2"/>
    </font>
    <font>
      <b/>
      <u/>
      <sz val="22"/>
      <color rgb="FFBF8F00"/>
      <name val="Aptos Narrow"/>
      <family val="2"/>
      <scheme val="minor"/>
    </font>
    <font>
      <b/>
      <sz val="22"/>
      <color rgb="FF1F2937"/>
      <name val="Consolas"/>
      <family val="2"/>
    </font>
    <font>
      <sz val="22"/>
      <color theme="1"/>
      <name val="Consolas"/>
      <family val="2"/>
    </font>
    <font>
      <b/>
      <i/>
      <sz val="22"/>
      <color rgb="FF1F2937"/>
      <name val="Consolas"/>
      <family val="2"/>
    </font>
    <font>
      <b/>
      <u/>
      <sz val="22"/>
      <color rgb="FF548235"/>
      <name val="Aptos Narrow"/>
      <family val="2"/>
      <scheme val="minor"/>
    </font>
    <font>
      <sz val="22"/>
      <color rgb="FF1F2937"/>
      <name val="Consolas"/>
      <family val="2"/>
    </font>
    <font>
      <sz val="22"/>
      <color rgb="FF0432FF"/>
      <name val="Aptos Narrow (Body)"/>
    </font>
    <font>
      <b/>
      <u/>
      <sz val="22"/>
      <color rgb="FF2E75B6"/>
      <name val="Aptos Narrow"/>
      <family val="2"/>
      <scheme val="minor"/>
    </font>
    <font>
      <b/>
      <i/>
      <sz val="22"/>
      <color rgb="FFC00000"/>
      <name val="Aptos Narrow"/>
      <family val="2"/>
      <scheme val="minor"/>
    </font>
    <font>
      <sz val="22"/>
      <color rgb="FF0432FF"/>
      <name val="Consolas"/>
      <family val="2"/>
    </font>
    <font>
      <b/>
      <u/>
      <sz val="22"/>
      <color rgb="FF595959"/>
      <name val="Aptos Narrow"/>
      <family val="2"/>
      <scheme val="minor"/>
    </font>
    <font>
      <b/>
      <sz val="22"/>
      <color rgb="FF0432FF"/>
      <name val="Consolas"/>
      <family val="2"/>
    </font>
    <font>
      <sz val="22"/>
      <color rgb="FF0432FF"/>
      <name val="Aptos Narrow"/>
      <family val="2"/>
      <scheme val="minor"/>
    </font>
    <font>
      <b/>
      <sz val="22"/>
      <color rgb="FF0432FF"/>
      <name val="Aptos Narrow"/>
      <scheme val="minor"/>
    </font>
    <font>
      <b/>
      <u/>
      <sz val="22"/>
      <color rgb="FFC00000"/>
      <name val="Aptos Narrow"/>
      <family val="2"/>
      <scheme val="minor"/>
    </font>
    <font>
      <i/>
      <sz val="22"/>
      <color rgb="FF1F2937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22"/>
      <color rgb="FFC00000"/>
      <name val="Aptos Narrow"/>
      <family val="2"/>
      <scheme val="minor"/>
    </font>
    <font>
      <b/>
      <sz val="22"/>
      <color rgb="FF548235"/>
      <name val="Aptos Narrow"/>
      <family val="2"/>
      <scheme val="minor"/>
    </font>
    <font>
      <b/>
      <i/>
      <sz val="22"/>
      <color rgb="FF548235"/>
      <name val="Aptos Narrow"/>
      <family val="2"/>
      <scheme val="minor"/>
    </font>
    <font>
      <b/>
      <sz val="22"/>
      <color rgb="FF0432FF"/>
      <name val="Aptos Narrow"/>
      <family val="2"/>
      <scheme val="minor"/>
    </font>
    <font>
      <b/>
      <u/>
      <sz val="22"/>
      <color rgb="FF7030A0"/>
      <name val="Aptos Narrow"/>
      <family val="2"/>
      <scheme val="minor"/>
    </font>
    <font>
      <b/>
      <u/>
      <sz val="22"/>
      <color rgb="FF264478"/>
      <name val="Aptos Narrow"/>
      <family val="2"/>
      <scheme val="minor"/>
    </font>
    <font>
      <b/>
      <u/>
      <sz val="22"/>
      <color rgb="FF00B050"/>
      <name val="Aptos Narrow"/>
      <family val="2"/>
      <scheme val="minor"/>
    </font>
    <font>
      <b/>
      <sz val="22"/>
      <color rgb="FF385723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i/>
      <sz val="22"/>
      <color rgb="FF385723"/>
      <name val="Aptos Narrow"/>
      <family val="2"/>
      <scheme val="minor"/>
    </font>
    <font>
      <sz val="22"/>
      <color rgb="FFC00000"/>
      <name val="Aptos Narrow"/>
      <family val="2"/>
      <scheme val="minor"/>
    </font>
    <font>
      <sz val="22"/>
      <color rgb="FF385723"/>
      <name val="Aptos Narrow"/>
      <family val="2"/>
      <scheme val="minor"/>
    </font>
    <font>
      <b/>
      <i/>
      <u/>
      <sz val="22"/>
      <color rgb="FFFF0000"/>
      <name val="Aptos Narrow (Body)"/>
    </font>
    <font>
      <i/>
      <sz val="22"/>
      <color theme="1"/>
      <name val="Aptos Narrow"/>
      <family val="2"/>
      <scheme val="minor"/>
    </font>
    <font>
      <sz val="22"/>
      <color rgb="FFFF0000"/>
      <name val="Aptos Narrow"/>
      <family val="2"/>
      <scheme val="minor"/>
    </font>
    <font>
      <b/>
      <sz val="22"/>
      <color rgb="FFFF0000"/>
      <name val="Aptos Narrow"/>
      <scheme val="minor"/>
    </font>
    <font>
      <i/>
      <sz val="22"/>
      <color rgb="FFFF0000"/>
      <name val="Aptos Narrow"/>
      <family val="2"/>
      <scheme val="minor"/>
    </font>
    <font>
      <b/>
      <sz val="22"/>
      <color rgb="FFFF0000"/>
      <name val="Aptos Narrow"/>
      <family val="2"/>
      <scheme val="minor"/>
    </font>
    <font>
      <b/>
      <i/>
      <sz val="2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2"/>
      <color rgb="FF4B5563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22"/>
      <color rgb="FF008000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6447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8572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D96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 applyAlignment="1">
      <alignment horizontal="center"/>
    </xf>
    <xf numFmtId="0" fontId="5" fillId="0" borderId="0" xfId="1" applyFont="1"/>
    <xf numFmtId="0" fontId="2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2" fillId="4" borderId="0" xfId="0" applyFont="1" applyFill="1"/>
    <xf numFmtId="0" fontId="9" fillId="0" borderId="0" xfId="1" applyFont="1"/>
    <xf numFmtId="0" fontId="10" fillId="0" borderId="0" xfId="0" applyFont="1"/>
    <xf numFmtId="0" fontId="13" fillId="14" borderId="0" xfId="0" applyFont="1" applyFill="1"/>
    <xf numFmtId="0" fontId="2" fillId="5" borderId="0" xfId="0" applyFont="1" applyFill="1"/>
    <xf numFmtId="0" fontId="14" fillId="0" borderId="0" xfId="1" applyFont="1"/>
    <xf numFmtId="0" fontId="10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14" borderId="0" xfId="0" applyFont="1" applyFill="1" applyAlignment="1">
      <alignment wrapText="1"/>
    </xf>
    <xf numFmtId="0" fontId="6" fillId="6" borderId="0" xfId="0" applyFont="1" applyFill="1"/>
    <xf numFmtId="0" fontId="16" fillId="0" borderId="0" xfId="1" applyFont="1"/>
    <xf numFmtId="0" fontId="7" fillId="1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11" fillId="14" borderId="0" xfId="0" applyFont="1" applyFill="1" applyAlignment="1">
      <alignment horizontal="center" wrapText="1"/>
    </xf>
    <xf numFmtId="0" fontId="8" fillId="0" borderId="0" xfId="0" applyFont="1" applyAlignment="1">
      <alignment wrapText="1"/>
    </xf>
    <xf numFmtId="0" fontId="7" fillId="15" borderId="0" xfId="0" applyFont="1" applyFill="1" applyAlignment="1">
      <alignment wrapText="1"/>
    </xf>
    <xf numFmtId="0" fontId="7" fillId="14" borderId="0" xfId="0" applyFont="1" applyFill="1" applyAlignment="1">
      <alignment wrapText="1"/>
    </xf>
    <xf numFmtId="0" fontId="17" fillId="14" borderId="0" xfId="0" applyFont="1" applyFill="1" applyAlignment="1">
      <alignment horizontal="center" wrapText="1"/>
    </xf>
    <xf numFmtId="0" fontId="7" fillId="0" borderId="0" xfId="0" applyFont="1" applyAlignment="1">
      <alignment wrapText="1"/>
    </xf>
    <xf numFmtId="0" fontId="18" fillId="16" borderId="0" xfId="0" applyFont="1" applyFill="1" applyAlignment="1">
      <alignment wrapText="1"/>
    </xf>
    <xf numFmtId="0" fontId="19" fillId="14" borderId="0" xfId="0" applyFont="1" applyFill="1" applyAlignment="1">
      <alignment wrapText="1"/>
    </xf>
    <xf numFmtId="0" fontId="2" fillId="7" borderId="0" xfId="0" applyFont="1" applyFill="1"/>
    <xf numFmtId="0" fontId="20" fillId="0" borderId="0" xfId="1" applyFont="1"/>
    <xf numFmtId="0" fontId="7" fillId="17" borderId="0" xfId="0" applyFont="1" applyFill="1" applyAlignment="1">
      <alignment wrapText="1"/>
    </xf>
    <xf numFmtId="0" fontId="18" fillId="14" borderId="0" xfId="0" applyFont="1" applyFill="1" applyAlignment="1">
      <alignment wrapText="1"/>
    </xf>
    <xf numFmtId="0" fontId="21" fillId="0" borderId="0" xfId="0" applyFont="1" applyAlignment="1">
      <alignment wrapText="1"/>
    </xf>
    <xf numFmtId="0" fontId="17" fillId="14" borderId="0" xfId="0" applyFont="1" applyFill="1" applyAlignment="1">
      <alignment wrapText="1"/>
    </xf>
    <xf numFmtId="0" fontId="11" fillId="14" borderId="0" xfId="0" applyFont="1" applyFill="1" applyAlignment="1">
      <alignment wrapText="1"/>
    </xf>
    <xf numFmtId="0" fontId="2" fillId="8" borderId="0" xfId="0" applyFont="1" applyFill="1"/>
    <xf numFmtId="0" fontId="23" fillId="0" borderId="0" xfId="1" applyFont="1"/>
    <xf numFmtId="0" fontId="2" fillId="1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4" fillId="15" borderId="0" xfId="0" applyFont="1" applyFill="1" applyAlignment="1">
      <alignment wrapText="1"/>
    </xf>
    <xf numFmtId="0" fontId="25" fillId="0" borderId="0" xfId="0" applyFont="1" applyAlignment="1">
      <alignment wrapText="1"/>
    </xf>
    <xf numFmtId="0" fontId="2" fillId="19" borderId="0" xfId="0" applyFont="1" applyFill="1"/>
    <xf numFmtId="0" fontId="26" fillId="0" borderId="0" xfId="1" applyFont="1"/>
    <xf numFmtId="0" fontId="7" fillId="20" borderId="0" xfId="0" applyFont="1" applyFill="1" applyAlignment="1">
      <alignment wrapText="1"/>
    </xf>
    <xf numFmtId="0" fontId="27" fillId="14" borderId="0" xfId="0" applyFont="1" applyFill="1" applyAlignment="1">
      <alignment wrapText="1"/>
    </xf>
    <xf numFmtId="0" fontId="27" fillId="14" borderId="0" xfId="0" applyFont="1" applyFill="1" applyAlignment="1">
      <alignment horizontal="center" wrapText="1"/>
    </xf>
    <xf numFmtId="0" fontId="28" fillId="23" borderId="0" xfId="0" applyFont="1" applyFill="1" applyAlignment="1">
      <alignment wrapText="1"/>
    </xf>
    <xf numFmtId="0" fontId="29" fillId="0" borderId="0" xfId="0" applyFont="1" applyAlignment="1">
      <alignment wrapText="1"/>
    </xf>
    <xf numFmtId="0" fontId="2" fillId="10" borderId="0" xfId="0" applyFont="1" applyFill="1"/>
    <xf numFmtId="0" fontId="30" fillId="0" borderId="0" xfId="1" applyFont="1"/>
    <xf numFmtId="0" fontId="31" fillId="0" borderId="0" xfId="0" applyFont="1"/>
    <xf numFmtId="0" fontId="32" fillId="16" borderId="0" xfId="0" applyFont="1" applyFill="1" applyAlignment="1">
      <alignment horizontal="center"/>
    </xf>
    <xf numFmtId="0" fontId="3" fillId="16" borderId="0" xfId="0" applyFont="1" applyFill="1"/>
    <xf numFmtId="164" fontId="3" fillId="0" borderId="0" xfId="0" applyNumberFormat="1" applyFont="1"/>
    <xf numFmtId="164" fontId="3" fillId="14" borderId="0" xfId="0" applyNumberFormat="1" applyFont="1" applyFill="1"/>
    <xf numFmtId="0" fontId="32" fillId="17" borderId="0" xfId="0" applyFont="1" applyFill="1"/>
    <xf numFmtId="164" fontId="3" fillId="17" borderId="0" xfId="0" applyNumberFormat="1" applyFont="1" applyFill="1"/>
    <xf numFmtId="0" fontId="13" fillId="0" borderId="0" xfId="0" applyFont="1"/>
    <xf numFmtId="0" fontId="32" fillId="0" borderId="0" xfId="0" applyFont="1"/>
    <xf numFmtId="164" fontId="32" fillId="17" borderId="0" xfId="0" applyNumberFormat="1" applyFont="1" applyFill="1"/>
    <xf numFmtId="0" fontId="32" fillId="14" borderId="0" xfId="0" applyFont="1" applyFill="1"/>
    <xf numFmtId="164" fontId="32" fillId="14" borderId="0" xfId="0" applyNumberFormat="1" applyFont="1" applyFill="1"/>
    <xf numFmtId="10" fontId="32" fillId="14" borderId="0" xfId="0" applyNumberFormat="1" applyFont="1" applyFill="1"/>
    <xf numFmtId="0" fontId="32" fillId="15" borderId="0" xfId="0" applyFont="1" applyFill="1"/>
    <xf numFmtId="164" fontId="12" fillId="15" borderId="0" xfId="0" applyNumberFormat="1" applyFont="1" applyFill="1"/>
    <xf numFmtId="0" fontId="33" fillId="0" borderId="0" xfId="0" applyFont="1"/>
    <xf numFmtId="165" fontId="3" fillId="0" borderId="0" xfId="0" applyNumberFormat="1" applyFont="1"/>
    <xf numFmtId="164" fontId="34" fillId="17" borderId="0" xfId="0" applyNumberFormat="1" applyFont="1" applyFill="1"/>
    <xf numFmtId="0" fontId="35" fillId="0" borderId="0" xfId="0" applyFont="1"/>
    <xf numFmtId="0" fontId="36" fillId="16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3" fillId="16" borderId="1" xfId="0" applyFont="1" applyFill="1" applyBorder="1"/>
    <xf numFmtId="0" fontId="32" fillId="16" borderId="1" xfId="0" applyFont="1" applyFill="1" applyBorder="1" applyAlignment="1">
      <alignment horizontal="center"/>
    </xf>
    <xf numFmtId="0" fontId="32" fillId="16" borderId="1" xfId="0" applyFont="1" applyFill="1" applyBorder="1"/>
    <xf numFmtId="164" fontId="3" fillId="14" borderId="1" xfId="0" applyNumberFormat="1" applyFont="1" applyFill="1" applyBorder="1"/>
    <xf numFmtId="0" fontId="32" fillId="17" borderId="1" xfId="0" applyFont="1" applyFill="1" applyBorder="1"/>
    <xf numFmtId="164" fontId="3" fillId="17" borderId="1" xfId="0" applyNumberFormat="1" applyFont="1" applyFill="1" applyBorder="1"/>
    <xf numFmtId="0" fontId="37" fillId="0" borderId="0" xfId="1" applyFont="1"/>
    <xf numFmtId="0" fontId="2" fillId="21" borderId="0" xfId="0" applyFont="1" applyFill="1"/>
    <xf numFmtId="0" fontId="10" fillId="17" borderId="0" xfId="0" applyFont="1" applyFill="1" applyAlignment="1">
      <alignment wrapText="1"/>
    </xf>
    <xf numFmtId="0" fontId="10" fillId="15" borderId="0" xfId="0" applyFont="1" applyFill="1" applyAlignment="1">
      <alignment wrapText="1"/>
    </xf>
    <xf numFmtId="0" fontId="2" fillId="21" borderId="0" xfId="0" applyFont="1" applyFill="1" applyAlignment="1">
      <alignment wrapText="1"/>
    </xf>
    <xf numFmtId="0" fontId="2" fillId="12" borderId="0" xfId="0" applyFont="1" applyFill="1"/>
    <xf numFmtId="0" fontId="38" fillId="0" borderId="0" xfId="1" applyFont="1"/>
    <xf numFmtId="0" fontId="7" fillId="22" borderId="0" xfId="0" applyFont="1" applyFill="1"/>
    <xf numFmtId="0" fontId="32" fillId="22" borderId="0" xfId="0" applyFont="1" applyFill="1" applyAlignment="1">
      <alignment wrapText="1"/>
    </xf>
    <xf numFmtId="0" fontId="2" fillId="24" borderId="0" xfId="0" applyFont="1" applyFill="1"/>
    <xf numFmtId="0" fontId="2" fillId="24" borderId="0" xfId="0" applyFont="1" applyFill="1" applyAlignment="1">
      <alignment horizontal="center"/>
    </xf>
    <xf numFmtId="0" fontId="39" fillId="0" borderId="0" xfId="1" applyFont="1"/>
    <xf numFmtId="0" fontId="32" fillId="26" borderId="4" xfId="0" applyFont="1" applyFill="1" applyBorder="1" applyAlignment="1">
      <alignment horizontal="center"/>
    </xf>
    <xf numFmtId="0" fontId="32" fillId="26" borderId="3" xfId="0" applyFont="1" applyFill="1" applyBorder="1" applyAlignment="1">
      <alignment horizontal="center"/>
    </xf>
    <xf numFmtId="0" fontId="32" fillId="27" borderId="7" xfId="0" applyFont="1" applyFill="1" applyBorder="1" applyAlignment="1">
      <alignment horizontal="center"/>
    </xf>
    <xf numFmtId="0" fontId="3" fillId="0" borderId="5" xfId="0" applyFont="1" applyBorder="1"/>
    <xf numFmtId="0" fontId="3" fillId="0" borderId="8" xfId="0" applyFont="1" applyBorder="1"/>
    <xf numFmtId="0" fontId="3" fillId="0" borderId="6" xfId="0" applyFont="1" applyBorder="1"/>
    <xf numFmtId="0" fontId="3" fillId="0" borderId="2" xfId="0" applyFont="1" applyBorder="1"/>
    <xf numFmtId="0" fontId="3" fillId="0" borderId="9" xfId="0" applyFont="1" applyBorder="1"/>
    <xf numFmtId="0" fontId="32" fillId="26" borderId="0" xfId="0" applyFont="1" applyFill="1" applyAlignment="1">
      <alignment horizontal="center"/>
    </xf>
    <xf numFmtId="0" fontId="32" fillId="26" borderId="0" xfId="0" applyFont="1" applyFill="1"/>
    <xf numFmtId="166" fontId="3" fillId="14" borderId="0" xfId="0" applyNumberFormat="1" applyFont="1" applyFill="1"/>
    <xf numFmtId="2" fontId="3" fillId="14" borderId="0" xfId="0" applyNumberFormat="1" applyFont="1" applyFill="1"/>
    <xf numFmtId="164" fontId="3" fillId="15" borderId="0" xfId="0" applyNumberFormat="1" applyFont="1" applyFill="1"/>
    <xf numFmtId="2" fontId="3" fillId="15" borderId="0" xfId="0" applyNumberFormat="1" applyFont="1" applyFill="1"/>
    <xf numFmtId="10" fontId="3" fillId="14" borderId="0" xfId="0" applyNumberFormat="1" applyFont="1" applyFill="1"/>
    <xf numFmtId="0" fontId="40" fillId="17" borderId="0" xfId="0" applyFont="1" applyFill="1" applyAlignment="1">
      <alignment wrapText="1"/>
    </xf>
    <xf numFmtId="166" fontId="3" fillId="0" borderId="0" xfId="0" applyNumberFormat="1" applyFont="1"/>
    <xf numFmtId="0" fontId="41" fillId="14" borderId="0" xfId="0" applyFont="1" applyFill="1" applyAlignment="1">
      <alignment wrapText="1"/>
    </xf>
    <xf numFmtId="0" fontId="3" fillId="27" borderId="0" xfId="0" applyFont="1" applyFill="1"/>
    <xf numFmtId="167" fontId="3" fillId="0" borderId="0" xfId="0" applyNumberFormat="1" applyFont="1"/>
    <xf numFmtId="2" fontId="3" fillId="17" borderId="0" xfId="0" applyNumberFormat="1" applyFont="1" applyFill="1"/>
    <xf numFmtId="2" fontId="32" fillId="15" borderId="0" xfId="0" applyNumberFormat="1" applyFont="1" applyFill="1"/>
    <xf numFmtId="0" fontId="3" fillId="15" borderId="0" xfId="0" applyFont="1" applyFill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2" fillId="24" borderId="0" xfId="0" applyFont="1" applyFill="1" applyAlignment="1">
      <alignment horizontal="center" wrapText="1"/>
    </xf>
    <xf numFmtId="0" fontId="32" fillId="15" borderId="0" xfId="0" applyFont="1" applyFill="1" applyAlignment="1">
      <alignment horizontal="center" wrapText="1"/>
    </xf>
    <xf numFmtId="0" fontId="32" fillId="17" borderId="0" xfId="0" applyFont="1" applyFill="1" applyAlignment="1">
      <alignment horizontal="center" wrapText="1"/>
    </xf>
    <xf numFmtId="0" fontId="46" fillId="0" borderId="11" xfId="0" applyFont="1" applyBorder="1" applyAlignment="1">
      <alignment horizontal="center"/>
    </xf>
    <xf numFmtId="0" fontId="3" fillId="0" borderId="10" xfId="0" applyFont="1" applyBorder="1"/>
    <xf numFmtId="0" fontId="47" fillId="0" borderId="0" xfId="0" applyFont="1"/>
    <xf numFmtId="0" fontId="49" fillId="0" borderId="0" xfId="0" applyFont="1"/>
    <xf numFmtId="0" fontId="32" fillId="26" borderId="0" xfId="0" applyFont="1" applyFill="1" applyAlignment="1">
      <alignment wrapText="1"/>
    </xf>
    <xf numFmtId="0" fontId="40" fillId="0" borderId="0" xfId="0" applyFont="1" applyAlignment="1">
      <alignment horizontal="center" wrapText="1"/>
    </xf>
    <xf numFmtId="164" fontId="2" fillId="24" borderId="0" xfId="0" applyNumberFormat="1" applyFont="1" applyFill="1" applyAlignment="1">
      <alignment horizontal="center" wrapText="1"/>
    </xf>
    <xf numFmtId="0" fontId="50" fillId="17" borderId="0" xfId="0" applyFont="1" applyFill="1" applyAlignment="1">
      <alignment horizontal="right" wrapText="1"/>
    </xf>
    <xf numFmtId="164" fontId="50" fillId="17" borderId="0" xfId="0" applyNumberFormat="1" applyFont="1" applyFill="1" applyAlignment="1">
      <alignment horizontal="center" wrapText="1"/>
    </xf>
    <xf numFmtId="0" fontId="51" fillId="24" borderId="0" xfId="0" applyFont="1" applyFill="1" applyAlignment="1">
      <alignment horizontal="center" wrapText="1"/>
    </xf>
    <xf numFmtId="0" fontId="51" fillId="14" borderId="0" xfId="0" applyFont="1" applyFill="1" applyAlignment="1">
      <alignment horizontal="center" wrapText="1"/>
    </xf>
    <xf numFmtId="164" fontId="50" fillId="24" borderId="0" xfId="0" applyNumberFormat="1" applyFont="1" applyFill="1" applyAlignment="1">
      <alignment horizontal="center" wrapText="1"/>
    </xf>
    <xf numFmtId="0" fontId="50" fillId="24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10" borderId="2" xfId="0" applyFont="1" applyFill="1" applyBorder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1" borderId="0" xfId="0" applyFont="1" applyFill="1"/>
    <xf numFmtId="0" fontId="2" fillId="12" borderId="0" xfId="0" applyFont="1" applyFill="1"/>
    <xf numFmtId="0" fontId="2" fillId="24" borderId="0" xfId="0" applyFont="1" applyFill="1" applyAlignment="1">
      <alignment horizontal="center" wrapText="1"/>
    </xf>
    <xf numFmtId="0" fontId="2" fillId="25" borderId="0" xfId="0" applyFont="1" applyFill="1" applyAlignment="1">
      <alignment horizontal="center" wrapText="1"/>
    </xf>
    <xf numFmtId="0" fontId="13" fillId="14" borderId="0" xfId="0" applyFont="1" applyFill="1" applyAlignment="1">
      <alignment horizontal="left" vertical="top" wrapText="1"/>
    </xf>
    <xf numFmtId="0" fontId="2" fillId="24" borderId="2" xfId="0" applyFont="1" applyFill="1" applyBorder="1" applyAlignment="1">
      <alignment horizontal="center" wrapText="1"/>
    </xf>
    <xf numFmtId="0" fontId="28" fillId="0" borderId="0" xfId="0" applyFont="1" applyAlignment="1">
      <alignment horizontal="left" vertical="top" wrapText="1"/>
    </xf>
    <xf numFmtId="0" fontId="48" fillId="23" borderId="10" xfId="0" applyFont="1" applyFill="1" applyBorder="1" applyAlignment="1">
      <alignment horizontal="center" wrapText="1"/>
    </xf>
    <xf numFmtId="0" fontId="33" fillId="15" borderId="0" xfId="0" applyFont="1" applyFill="1" applyAlignment="1">
      <alignment horizontal="center" vertical="top" wrapText="1"/>
    </xf>
    <xf numFmtId="0" fontId="2" fillId="24" borderId="0" xfId="0" applyFont="1" applyFill="1" applyAlignment="1">
      <alignment horizontal="center" vertical="center" wrapText="1"/>
    </xf>
    <xf numFmtId="0" fontId="53" fillId="24" borderId="0" xfId="0" applyFont="1" applyFill="1"/>
    <xf numFmtId="0" fontId="54" fillId="0" borderId="0" xfId="0" applyFont="1"/>
    <xf numFmtId="0" fontId="52" fillId="0" borderId="0" xfId="0" applyFont="1"/>
    <xf numFmtId="0" fontId="52" fillId="26" borderId="0" xfId="0" applyFont="1" applyFill="1"/>
    <xf numFmtId="0" fontId="52" fillId="0" borderId="0" xfId="0" applyFont="1" applyAlignment="1">
      <alignment horizontal="center"/>
    </xf>
    <xf numFmtId="164" fontId="0" fillId="0" borderId="0" xfId="0" applyNumberFormat="1"/>
    <xf numFmtId="0" fontId="52" fillId="1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5" fillId="24" borderId="0" xfId="0" applyFont="1" applyFill="1" applyAlignment="1">
      <alignment horizontal="center"/>
    </xf>
    <xf numFmtId="0" fontId="52" fillId="26" borderId="0" xfId="0" applyFont="1" applyFill="1" applyAlignment="1">
      <alignment horizontal="center"/>
    </xf>
    <xf numFmtId="10" fontId="0" fillId="0" borderId="0" xfId="0" applyNumberFormat="1"/>
    <xf numFmtId="0" fontId="52" fillId="14" borderId="0" xfId="0" applyFont="1" applyFill="1"/>
    <xf numFmtId="164" fontId="52" fillId="14" borderId="0" xfId="0" applyNumberFormat="1" applyFont="1" applyFill="1"/>
    <xf numFmtId="10" fontId="52" fillId="14" borderId="0" xfId="0" applyNumberFormat="1" applyFont="1" applyFill="1"/>
    <xf numFmtId="164" fontId="56" fillId="14" borderId="0" xfId="0" applyNumberFormat="1" applyFont="1" applyFill="1"/>
    <xf numFmtId="164" fontId="0" fillId="1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1: Original Data (X₁ vs X₂) — correlated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'7. Illustration'!$D$9</c:f>
              <c:strCache>
                <c:ptCount val="1"/>
                <c:pt idx="0">
                  <c:v>X₂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 Illustration'!$C$10:$C$19</c:f>
              <c:numCache>
                <c:formatCode>General</c:formatCode>
                <c:ptCount val="10"/>
                <c:pt idx="0">
                  <c:v>2.5</c:v>
                </c:pt>
                <c:pt idx="1">
                  <c:v>0.5</c:v>
                </c:pt>
                <c:pt idx="2">
                  <c:v>2.2000000000000002</c:v>
                </c:pt>
                <c:pt idx="3">
                  <c:v>1.9</c:v>
                </c:pt>
                <c:pt idx="4">
                  <c:v>3.1</c:v>
                </c:pt>
                <c:pt idx="5">
                  <c:v>2.2999999999999998</c:v>
                </c:pt>
                <c:pt idx="6">
                  <c:v>2</c:v>
                </c:pt>
                <c:pt idx="7">
                  <c:v>1</c:v>
                </c:pt>
                <c:pt idx="8">
                  <c:v>1.5</c:v>
                </c:pt>
                <c:pt idx="9">
                  <c:v>1.1000000000000001</c:v>
                </c:pt>
              </c:numCache>
            </c:numRef>
          </c:xVal>
          <c:yVal>
            <c:numRef>
              <c:f>'7. Illustration'!$D$10:$D$19</c:f>
              <c:numCache>
                <c:formatCode>General</c:formatCode>
                <c:ptCount val="10"/>
                <c:pt idx="0">
                  <c:v>2.4</c:v>
                </c:pt>
                <c:pt idx="1">
                  <c:v>0.7</c:v>
                </c:pt>
                <c:pt idx="2">
                  <c:v>2.9</c:v>
                </c:pt>
                <c:pt idx="3">
                  <c:v>2.2000000000000002</c:v>
                </c:pt>
                <c:pt idx="4">
                  <c:v>3</c:v>
                </c:pt>
                <c:pt idx="5">
                  <c:v>2.7</c:v>
                </c:pt>
                <c:pt idx="6">
                  <c:v>1.6</c:v>
                </c:pt>
                <c:pt idx="7">
                  <c:v>1.1000000000000001</c:v>
                </c:pt>
                <c:pt idx="8">
                  <c:v>1.6</c:v>
                </c:pt>
                <c:pt idx="9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5-1C4B-A9DA-0E12B0022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623248"/>
        <c:axId val="1525625840"/>
      </c:scatterChart>
      <c:valAx>
        <c:axId val="1702623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625840"/>
        <c:crosses val="autoZero"/>
        <c:crossBetween val="midCat"/>
      </c:valAx>
      <c:valAx>
        <c:axId val="15256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623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2: PC1 vs PC2 Scores — uncorrelated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'7. Illustration'!$D$26</c:f>
              <c:strCache>
                <c:ptCount val="1"/>
                <c:pt idx="0">
                  <c:v>PC2 Score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'7. Illustration'!$C$27:$C$36</c:f>
              <c:numCache>
                <c:formatCode>0.0000</c:formatCode>
                <c:ptCount val="10"/>
                <c:pt idx="0">
                  <c:v>0.82797018620108798</c:v>
                </c:pt>
                <c:pt idx="1">
                  <c:v>-1.7775803252804288</c:v>
                </c:pt>
                <c:pt idx="2">
                  <c:v>0.99219749441488925</c:v>
                </c:pt>
                <c:pt idx="3">
                  <c:v>0.27421041597539975</c:v>
                </c:pt>
                <c:pt idx="4">
                  <c:v>1.6758014186445398</c:v>
                </c:pt>
                <c:pt idx="5">
                  <c:v>0.91294910315880839</c:v>
                </c:pt>
                <c:pt idx="6">
                  <c:v>-9.9109437498444308E-2</c:v>
                </c:pt>
                <c:pt idx="7">
                  <c:v>-1.1445721637986597</c:v>
                </c:pt>
                <c:pt idx="8">
                  <c:v>-0.43804613676244986</c:v>
                </c:pt>
                <c:pt idx="9">
                  <c:v>-1.2238205550547403</c:v>
                </c:pt>
              </c:numCache>
            </c:numRef>
          </c:xVal>
          <c:yVal>
            <c:numRef>
              <c:f>'7. Illustration'!$D$27:$D$36</c:f>
              <c:numCache>
                <c:formatCode>0.0000</c:formatCode>
                <c:ptCount val="10"/>
                <c:pt idx="0">
                  <c:v>-0.1751153070469163</c:v>
                </c:pt>
                <c:pt idx="1">
                  <c:v>0.14285722654428212</c:v>
                </c:pt>
                <c:pt idx="2">
                  <c:v>0.38437498888041166</c:v>
                </c:pt>
                <c:pt idx="3">
                  <c:v>0.13041720657412686</c:v>
                </c:pt>
                <c:pt idx="4">
                  <c:v>-0.20949846125675486</c:v>
                </c:pt>
                <c:pt idx="5">
                  <c:v>0.17528244362036899</c:v>
                </c:pt>
                <c:pt idx="6">
                  <c:v>-0.3498246980971208</c:v>
                </c:pt>
                <c:pt idx="7">
                  <c:v>4.6417258183282351E-2</c:v>
                </c:pt>
                <c:pt idx="8">
                  <c:v>1.7764629675083549E-2</c:v>
                </c:pt>
                <c:pt idx="9">
                  <c:v>-0.16267528707676093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0-E34D-B379-462E5034E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849072"/>
        <c:axId val="1573860272"/>
      </c:scatterChart>
      <c:valAx>
        <c:axId val="157384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60272"/>
        <c:crosses val="autoZero"/>
        <c:crossBetween val="midCat"/>
      </c:valAx>
      <c:valAx>
        <c:axId val="15738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PC2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849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3: Variance Explained by each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Illustration'!$Q$34</c:f>
              <c:strCache>
                <c:ptCount val="1"/>
                <c:pt idx="0">
                  <c:v>Explained Variance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'7. Illustration'!$P$35:$P$36</c:f>
              <c:strCache>
                <c:ptCount val="2"/>
                <c:pt idx="0">
                  <c:v>PC1</c:v>
                </c:pt>
                <c:pt idx="1">
                  <c:v>PC2</c:v>
                </c:pt>
              </c:strCache>
            </c:strRef>
          </c:cat>
          <c:val>
            <c:numRef>
              <c:f>'7. Illustration'!$Q$35:$Q$36</c:f>
              <c:numCache>
                <c:formatCode>0.0%</c:formatCode>
                <c:ptCount val="2"/>
                <c:pt idx="0">
                  <c:v>0.96318131434864585</c:v>
                </c:pt>
                <c:pt idx="1">
                  <c:v>3.6818685651354148E-2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7-7E48-8141-7F28204C5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721392"/>
        <c:axId val="516116383"/>
      </c:barChart>
      <c:catAx>
        <c:axId val="152872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16383"/>
        <c:crosses val="autoZero"/>
        <c:auto val="1"/>
        <c:lblAlgn val="ctr"/>
        <c:lblOffset val="100"/>
        <c:noMultiLvlLbl val="0"/>
      </c:catAx>
      <c:valAx>
        <c:axId val="51611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72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Scree Plot — Variance Explained by each 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'10. Case Study'!$K$66</c:f>
              <c:strCache>
                <c:ptCount val="1"/>
                <c:pt idx="0">
                  <c:v>92.0%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'10. Case Study'!$J$66:$J$70</c:f>
              <c:strCache>
                <c:ptCount val="5"/>
                <c:pt idx="0">
                  <c:v>PC1</c:v>
                </c:pt>
                <c:pt idx="1">
                  <c:v>PC2</c:v>
                </c:pt>
                <c:pt idx="2">
                  <c:v>PC3</c:v>
                </c:pt>
                <c:pt idx="3">
                  <c:v>PC4</c:v>
                </c:pt>
                <c:pt idx="4">
                  <c:v>PC5</c:v>
                </c:pt>
              </c:strCache>
            </c:strRef>
          </c:cat>
          <c:val>
            <c:numRef>
              <c:f>'10. Case Study'!$K$66:$K$70</c:f>
              <c:numCache>
                <c:formatCode>0.0%</c:formatCode>
                <c:ptCount val="5"/>
                <c:pt idx="0">
                  <c:v>0.92049685016229188</c:v>
                </c:pt>
                <c:pt idx="1">
                  <c:v>4.5525068404757833E-2</c:v>
                </c:pt>
                <c:pt idx="2">
                  <c:v>2.6435709236058386E-2</c:v>
                </c:pt>
                <c:pt idx="3">
                  <c:v>7.0927847025266015E-3</c:v>
                </c:pt>
                <c:pt idx="4">
                  <c:v>4.4958749436538879E-4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3-A746-AD48-F6AC5205F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563216"/>
        <c:axId val="1826439408"/>
      </c:barChart>
      <c:catAx>
        <c:axId val="15645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439408"/>
        <c:crosses val="autoZero"/>
        <c:auto val="1"/>
        <c:lblAlgn val="ctr"/>
        <c:lblOffset val="100"/>
        <c:noMultiLvlLbl val="0"/>
      </c:catAx>
      <c:valAx>
        <c:axId val="182643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56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PCR: Predicted vs Actual Price ($000)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'10. Case Study'!$K$85</c:f>
              <c:strCache>
                <c:ptCount val="1"/>
                <c:pt idx="0">
                  <c:v>Predicted (PCR)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'10. Case Study'!$J$86:$J$97</c:f>
              <c:numCache>
                <c:formatCode>0.0</c:formatCode>
                <c:ptCount val="12"/>
                <c:pt idx="0">
                  <c:v>245</c:v>
                </c:pt>
                <c:pt idx="1">
                  <c:v>380</c:v>
                </c:pt>
                <c:pt idx="2">
                  <c:v>295</c:v>
                </c:pt>
                <c:pt idx="3">
                  <c:v>425</c:v>
                </c:pt>
                <c:pt idx="4">
                  <c:v>180</c:v>
                </c:pt>
                <c:pt idx="5">
                  <c:v>540</c:v>
                </c:pt>
                <c:pt idx="6">
                  <c:v>265</c:v>
                </c:pt>
                <c:pt idx="7">
                  <c:v>475</c:v>
                </c:pt>
                <c:pt idx="8">
                  <c:v>320</c:v>
                </c:pt>
                <c:pt idx="9">
                  <c:v>210</c:v>
                </c:pt>
                <c:pt idx="10">
                  <c:v>455</c:v>
                </c:pt>
                <c:pt idx="11">
                  <c:v>305</c:v>
                </c:pt>
              </c:numCache>
            </c:numRef>
          </c:xVal>
          <c:yVal>
            <c:numRef>
              <c:f>'10. Case Study'!$K$86:$K$97</c:f>
              <c:numCache>
                <c:formatCode>0.0</c:formatCode>
                <c:ptCount val="12"/>
                <c:pt idx="0">
                  <c:v>239.5708553208344</c:v>
                </c:pt>
                <c:pt idx="1">
                  <c:v>382.94682909915957</c:v>
                </c:pt>
                <c:pt idx="2">
                  <c:v>294.09636074852222</c:v>
                </c:pt>
                <c:pt idx="3">
                  <c:v>426.04851808242864</c:v>
                </c:pt>
                <c:pt idx="4">
                  <c:v>178.38487083122669</c:v>
                </c:pt>
                <c:pt idx="5">
                  <c:v>541.29632614642219</c:v>
                </c:pt>
                <c:pt idx="6">
                  <c:v>270.66168477411696</c:v>
                </c:pt>
                <c:pt idx="7">
                  <c:v>471.03723123913761</c:v>
                </c:pt>
                <c:pt idx="8">
                  <c:v>324.1507729578309</c:v>
                </c:pt>
                <c:pt idx="9">
                  <c:v>206.69884686006642</c:v>
                </c:pt>
                <c:pt idx="10">
                  <c:v>449.33660606386292</c:v>
                </c:pt>
                <c:pt idx="11">
                  <c:v>310.77109787639148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E-B94C-AED4-5824B8F00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139376"/>
        <c:axId val="20139616"/>
      </c:scatterChart>
      <c:valAx>
        <c:axId val="17651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Actual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616"/>
        <c:crosses val="autoZero"/>
        <c:crossBetween val="midCat"/>
      </c:valAx>
      <c:valAx>
        <c:axId val="201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Predicted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1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3F1C3-4DA3-B26B-9E7F-732696E2C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38C856-86EE-B78E-16E8-89A66C090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33</xdr:row>
      <xdr:rowOff>0</xdr:rowOff>
    </xdr:from>
    <xdr:to>
      <xdr:col>23</xdr:col>
      <xdr:colOff>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33F8BB-B031-705C-8095-E7D930552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59</xdr:row>
      <xdr:rowOff>0</xdr:rowOff>
    </xdr:from>
    <xdr:to>
      <xdr:col>17</xdr:col>
      <xdr:colOff>0</xdr:colOff>
      <xdr:row>79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FF9F4-6BB6-C892-6570-00AF7F419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82</xdr:row>
      <xdr:rowOff>0</xdr:rowOff>
    </xdr:from>
    <xdr:to>
      <xdr:col>17</xdr:col>
      <xdr:colOff>0</xdr:colOff>
      <xdr:row>99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928D81-BBF2-CEC7-7985-727E9C829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29DB55-443A-4746-AA64-CDE7E067103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c23270-f6c5-430e-8292-f94a873e079e&quot;"/>
  </we:properties>
  <we:bindings/>
  <we:snapshot xmlns:r="http://schemas.openxmlformats.org/officeDocument/2006/relationships"/>
</we:webextension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666F-EDB2-AA4C-B9B2-CDC40C973DFA}">
  <sheetPr>
    <tabColor rgb="FF1F2937"/>
  </sheetPr>
  <dimension ref="B2:J17"/>
  <sheetViews>
    <sheetView tabSelected="1" workbookViewId="0">
      <selection activeCell="G24" sqref="G24"/>
    </sheetView>
  </sheetViews>
  <sheetFormatPr baseColWidth="10" defaultColWidth="14.33203125" defaultRowHeight="29" x14ac:dyDescent="0.35"/>
  <cols>
    <col min="1" max="1" width="14.33203125" style="1"/>
    <col min="2" max="2" width="27.6640625" style="1" customWidth="1"/>
    <col min="3" max="3" width="49.33203125" style="1" customWidth="1"/>
    <col min="4" max="16384" width="14.33203125" style="1"/>
  </cols>
  <sheetData>
    <row r="2" spans="2:10" ht="32" customHeight="1" x14ac:dyDescent="0.35">
      <c r="B2" s="142" t="s">
        <v>0</v>
      </c>
      <c r="C2" s="142"/>
      <c r="D2" s="142"/>
      <c r="E2" s="142"/>
      <c r="F2" s="142"/>
      <c r="G2" s="142"/>
      <c r="H2" s="142"/>
      <c r="I2" s="142"/>
      <c r="J2" s="142"/>
    </row>
    <row r="3" spans="2:10" x14ac:dyDescent="0.35">
      <c r="B3" s="2" t="s">
        <v>1</v>
      </c>
    </row>
    <row r="5" spans="2:10" ht="24" customHeight="1" x14ac:dyDescent="0.35">
      <c r="B5" s="3" t="s">
        <v>2</v>
      </c>
      <c r="C5" s="3" t="s">
        <v>3</v>
      </c>
      <c r="D5" s="3" t="s">
        <v>4</v>
      </c>
    </row>
    <row r="6" spans="2:10" ht="26" customHeight="1" x14ac:dyDescent="0.35">
      <c r="B6" s="4" t="s">
        <v>5</v>
      </c>
      <c r="C6" s="5" t="str">
        <f>HYPERLINK("#'1. MLR Recap'!A1","1. MLR Recap")</f>
        <v>1. MLR Recap</v>
      </c>
      <c r="D6" s="1" t="s">
        <v>6</v>
      </c>
    </row>
    <row r="7" spans="2:10" ht="26" customHeight="1" x14ac:dyDescent="0.35">
      <c r="B7" s="6" t="s">
        <v>7</v>
      </c>
      <c r="C7" s="5" t="str">
        <f>HYPERLINK("#'2. The Problem'!A1","2. The Problem with MLR")</f>
        <v>2. The Problem with MLR</v>
      </c>
      <c r="D7" s="1" t="s">
        <v>8</v>
      </c>
    </row>
    <row r="8" spans="2:10" ht="26" customHeight="1" x14ac:dyDescent="0.35">
      <c r="B8" s="7" t="s">
        <v>9</v>
      </c>
      <c r="C8" s="5" t="str">
        <f>HYPERLINK("#'3. PCA Intuition'!A1","3. PCA — The Intuition")</f>
        <v>3. PCA — The Intuition</v>
      </c>
      <c r="D8" s="1" t="s">
        <v>10</v>
      </c>
    </row>
    <row r="9" spans="2:10" ht="26" customHeight="1" x14ac:dyDescent="0.35">
      <c r="B9" s="8" t="s">
        <v>11</v>
      </c>
      <c r="C9" s="5" t="str">
        <f>HYPERLINK("#'4. PCA Math'!A1","4. The Math Behind PCA")</f>
        <v>4. The Math Behind PCA</v>
      </c>
      <c r="D9" s="1" t="s">
        <v>12</v>
      </c>
    </row>
    <row r="10" spans="2:10" ht="26" customHeight="1" x14ac:dyDescent="0.35">
      <c r="B10" s="9" t="s">
        <v>13</v>
      </c>
      <c r="C10" s="5" t="str">
        <f>HYPERLINK("#'5. PCA Steps'!A1","5. PCA Step-by-Step")</f>
        <v>5. PCA Step-by-Step</v>
      </c>
      <c r="D10" s="1" t="s">
        <v>14</v>
      </c>
    </row>
    <row r="11" spans="2:10" ht="26" customHeight="1" x14ac:dyDescent="0.35">
      <c r="B11" s="10" t="s">
        <v>15</v>
      </c>
      <c r="C11" s="5" t="str">
        <f>HYPERLINK("#'6. PCR (PCA+MLR)'!A1","6. Principal Component Regression")</f>
        <v>6. Principal Component Regression</v>
      </c>
      <c r="D11" s="1" t="s">
        <v>16</v>
      </c>
    </row>
    <row r="12" spans="2:10" ht="26" customHeight="1" x14ac:dyDescent="0.35">
      <c r="B12" s="11" t="s">
        <v>17</v>
      </c>
      <c r="C12" s="5" t="str">
        <f>HYPERLINK("#'7. Illustration'!A1","7. Worked Illustration")</f>
        <v>7. Worked Illustration</v>
      </c>
      <c r="D12" s="1" t="s">
        <v>18</v>
      </c>
    </row>
    <row r="13" spans="2:10" ht="26" customHeight="1" x14ac:dyDescent="0.35">
      <c r="B13" s="12" t="s">
        <v>19</v>
      </c>
      <c r="C13" s="5" t="str">
        <f>HYPERLINK("#'8. Pros &amp; Cons'!A1","8. Pros, Cons &amp; Pitfalls")</f>
        <v>8. Pros, Cons &amp; Pitfalls</v>
      </c>
      <c r="D13" s="1" t="s">
        <v>20</v>
      </c>
    </row>
    <row r="14" spans="2:10" ht="26" customHeight="1" x14ac:dyDescent="0.35">
      <c r="B14" s="13" t="s">
        <v>21</v>
      </c>
      <c r="C14" s="5" t="str">
        <f>HYPERLINK("#'9. Glossary &amp; FAQ'!A1","9. Glossary &amp; FAQ")</f>
        <v>9. Glossary &amp; FAQ</v>
      </c>
      <c r="D14" s="1" t="s">
        <v>22</v>
      </c>
    </row>
    <row r="15" spans="2:10" ht="26" customHeight="1" x14ac:dyDescent="0.35">
      <c r="B15" s="98" t="s">
        <v>265</v>
      </c>
      <c r="C15" s="5" t="str">
        <f>HYPERLINK("#'10. Case Study'!A1","10. Case Study: House Price Prediction")</f>
        <v>10. Case Study: House Price Prediction</v>
      </c>
      <c r="D15" s="1" t="s">
        <v>266</v>
      </c>
    </row>
    <row r="16" spans="2:10" ht="22" customHeight="1" x14ac:dyDescent="0.35">
      <c r="B16" s="14" t="s">
        <v>23</v>
      </c>
    </row>
    <row r="17" spans="2:2" ht="22" customHeight="1" x14ac:dyDescent="0.35">
      <c r="B17" s="15" t="s">
        <v>24</v>
      </c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29C5-8DB9-4D44-AFB2-7C4E4BA85F04}">
  <sheetPr>
    <tabColor rgb="FF4472C4"/>
  </sheetPr>
  <dimension ref="B2:B40"/>
  <sheetViews>
    <sheetView workbookViewId="0">
      <selection activeCell="B23" sqref="B23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16" t="s">
        <v>25</v>
      </c>
    </row>
    <row r="3" spans="2:2" x14ac:dyDescent="0.35">
      <c r="B3" s="17" t="str">
        <f>HYPERLINK("#TOC!A1","⬅ Back to Table of Contents")</f>
        <v>⬅ Back to Table of Contents</v>
      </c>
    </row>
    <row r="5" spans="2:2" ht="30" x14ac:dyDescent="0.35">
      <c r="B5" s="28" t="s">
        <v>26</v>
      </c>
    </row>
    <row r="6" spans="2:2" ht="90" x14ac:dyDescent="0.35">
      <c r="B6" s="22" t="s">
        <v>27</v>
      </c>
    </row>
    <row r="7" spans="2:2" x14ac:dyDescent="0.35">
      <c r="B7" s="29"/>
    </row>
    <row r="8" spans="2:2" ht="30" x14ac:dyDescent="0.35">
      <c r="B8" s="28" t="s">
        <v>28</v>
      </c>
    </row>
    <row r="9" spans="2:2" ht="32" x14ac:dyDescent="0.4">
      <c r="B9" s="30" t="s">
        <v>29</v>
      </c>
    </row>
    <row r="10" spans="2:2" ht="60" x14ac:dyDescent="0.35">
      <c r="B10" s="31" t="s">
        <v>30</v>
      </c>
    </row>
    <row r="11" spans="2:2" x14ac:dyDescent="0.35">
      <c r="B11" s="29"/>
    </row>
    <row r="12" spans="2:2" ht="30" x14ac:dyDescent="0.35">
      <c r="B12" s="28" t="s">
        <v>31</v>
      </c>
    </row>
    <row r="13" spans="2:2" ht="60" x14ac:dyDescent="0.35">
      <c r="B13" s="22" t="s">
        <v>32</v>
      </c>
    </row>
    <row r="14" spans="2:2" x14ac:dyDescent="0.35">
      <c r="B14" s="29"/>
    </row>
    <row r="15" spans="2:2" ht="30" x14ac:dyDescent="0.35">
      <c r="B15" s="28" t="s">
        <v>33</v>
      </c>
    </row>
    <row r="16" spans="2:2" ht="30" x14ac:dyDescent="0.35">
      <c r="B16" s="22" t="s">
        <v>34</v>
      </c>
    </row>
    <row r="17" spans="2:2" ht="30" x14ac:dyDescent="0.35">
      <c r="B17" s="22" t="s">
        <v>35</v>
      </c>
    </row>
    <row r="18" spans="2:2" ht="30" x14ac:dyDescent="0.35">
      <c r="B18" s="22" t="s">
        <v>36</v>
      </c>
    </row>
    <row r="19" spans="2:2" ht="30" x14ac:dyDescent="0.35">
      <c r="B19" s="22" t="s">
        <v>37</v>
      </c>
    </row>
    <row r="20" spans="2:2" ht="60" x14ac:dyDescent="0.35">
      <c r="B20" s="24" t="s">
        <v>38</v>
      </c>
    </row>
    <row r="21" spans="2:2" x14ac:dyDescent="0.35">
      <c r="B21" s="29"/>
    </row>
    <row r="22" spans="2:2" ht="30" x14ac:dyDescent="0.35">
      <c r="B22" s="28" t="s">
        <v>39</v>
      </c>
    </row>
    <row r="23" spans="2:2" ht="30" x14ac:dyDescent="0.35">
      <c r="B23" s="22" t="s">
        <v>40</v>
      </c>
    </row>
    <row r="24" spans="2:2" ht="30" x14ac:dyDescent="0.35">
      <c r="B24" s="22" t="s">
        <v>41</v>
      </c>
    </row>
    <row r="25" spans="2:2" ht="30" x14ac:dyDescent="0.35">
      <c r="B25" s="22" t="s">
        <v>42</v>
      </c>
    </row>
    <row r="26" spans="2:2" ht="30" x14ac:dyDescent="0.35">
      <c r="B26" s="22" t="s">
        <v>43</v>
      </c>
    </row>
    <row r="27" spans="2:2" x14ac:dyDescent="0.35">
      <c r="B27" s="29"/>
    </row>
    <row r="28" spans="2:2" ht="60" x14ac:dyDescent="0.35">
      <c r="B28" s="25" t="s">
        <v>44</v>
      </c>
    </row>
    <row r="29" spans="2:2" x14ac:dyDescent="0.35">
      <c r="B29" s="29"/>
    </row>
    <row r="30" spans="2:2" x14ac:dyDescent="0.35">
      <c r="B30" s="29"/>
    </row>
    <row r="31" spans="2:2" x14ac:dyDescent="0.35">
      <c r="B31" s="29"/>
    </row>
    <row r="32" spans="2:2" x14ac:dyDescent="0.35">
      <c r="B32" s="29"/>
    </row>
    <row r="33" spans="2:2" x14ac:dyDescent="0.35">
      <c r="B33" s="29"/>
    </row>
    <row r="34" spans="2:2" x14ac:dyDescent="0.35">
      <c r="B34" s="29"/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3F35-BABD-1747-8406-EB8CC34E4F80}">
  <sheetPr>
    <tabColor rgb="FFED7D31"/>
  </sheetPr>
  <dimension ref="B2:B40"/>
  <sheetViews>
    <sheetView topLeftCell="A11" workbookViewId="0">
      <selection activeCell="B27" sqref="B27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20" t="s">
        <v>45</v>
      </c>
    </row>
    <row r="3" spans="2:2" x14ac:dyDescent="0.35">
      <c r="B3" s="21" t="str">
        <f>HYPERLINK("#TOC!A1","⬅ Back to Table of Contents")</f>
        <v>⬅ Back to Table of Contents</v>
      </c>
    </row>
    <row r="5" spans="2:2" ht="30" x14ac:dyDescent="0.35">
      <c r="B5" s="32" t="s">
        <v>46</v>
      </c>
    </row>
    <row r="6" spans="2:2" ht="90" x14ac:dyDescent="0.35">
      <c r="B6" s="22" t="s">
        <v>47</v>
      </c>
    </row>
    <row r="7" spans="2:2" x14ac:dyDescent="0.35">
      <c r="B7" s="29"/>
    </row>
    <row r="8" spans="2:2" ht="30" x14ac:dyDescent="0.35">
      <c r="B8" s="32" t="s">
        <v>48</v>
      </c>
    </row>
    <row r="9" spans="2:2" ht="60" x14ac:dyDescent="0.35">
      <c r="B9" s="22" t="s">
        <v>49</v>
      </c>
    </row>
    <row r="10" spans="2:2" ht="60" x14ac:dyDescent="0.35">
      <c r="B10" s="22" t="s">
        <v>50</v>
      </c>
    </row>
    <row r="11" spans="2:2" ht="60" x14ac:dyDescent="0.35">
      <c r="B11" s="22" t="s">
        <v>51</v>
      </c>
    </row>
    <row r="12" spans="2:2" ht="60" x14ac:dyDescent="0.35">
      <c r="B12" s="22" t="s">
        <v>52</v>
      </c>
    </row>
    <row r="13" spans="2:2" ht="30" x14ac:dyDescent="0.35">
      <c r="B13" s="22" t="s">
        <v>53</v>
      </c>
    </row>
    <row r="14" spans="2:2" ht="30" x14ac:dyDescent="0.35">
      <c r="B14" s="22" t="s">
        <v>54</v>
      </c>
    </row>
    <row r="15" spans="2:2" x14ac:dyDescent="0.35">
      <c r="B15" s="29"/>
    </row>
    <row r="16" spans="2:2" ht="30" x14ac:dyDescent="0.35">
      <c r="B16" s="32" t="s">
        <v>55</v>
      </c>
    </row>
    <row r="17" spans="2:2" ht="30" x14ac:dyDescent="0.35">
      <c r="B17" s="22" t="s">
        <v>56</v>
      </c>
    </row>
    <row r="18" spans="2:2" ht="60" x14ac:dyDescent="0.35">
      <c r="B18" s="22" t="s">
        <v>57</v>
      </c>
    </row>
    <row r="19" spans="2:2" ht="64" x14ac:dyDescent="0.4">
      <c r="B19" s="23" t="s">
        <v>58</v>
      </c>
    </row>
    <row r="20" spans="2:2" ht="30" x14ac:dyDescent="0.35">
      <c r="B20" s="22" t="s">
        <v>59</v>
      </c>
    </row>
    <row r="21" spans="2:2" ht="30" x14ac:dyDescent="0.35">
      <c r="B21" s="22" t="s">
        <v>60</v>
      </c>
    </row>
    <row r="22" spans="2:2" x14ac:dyDescent="0.35">
      <c r="B22" s="29"/>
    </row>
    <row r="23" spans="2:2" ht="30" x14ac:dyDescent="0.35">
      <c r="B23" s="32" t="s">
        <v>61</v>
      </c>
    </row>
    <row r="24" spans="2:2" ht="30" x14ac:dyDescent="0.35">
      <c r="B24" s="22" t="s">
        <v>62</v>
      </c>
    </row>
    <row r="25" spans="2:2" ht="30" x14ac:dyDescent="0.35">
      <c r="B25" s="22" t="s">
        <v>63</v>
      </c>
    </row>
    <row r="26" spans="2:2" ht="30" x14ac:dyDescent="0.35">
      <c r="B26" s="22" t="s">
        <v>64</v>
      </c>
    </row>
    <row r="27" spans="2:2" ht="60" x14ac:dyDescent="0.35">
      <c r="B27" s="24" t="s">
        <v>65</v>
      </c>
    </row>
    <row r="28" spans="2:2" x14ac:dyDescent="0.35">
      <c r="B28" s="29"/>
    </row>
    <row r="29" spans="2:2" ht="90" x14ac:dyDescent="0.35">
      <c r="B29" s="25" t="s">
        <v>66</v>
      </c>
    </row>
    <row r="30" spans="2:2" x14ac:dyDescent="0.35">
      <c r="B30" s="29"/>
    </row>
    <row r="31" spans="2:2" x14ac:dyDescent="0.35">
      <c r="B31" s="29"/>
    </row>
    <row r="32" spans="2:2" x14ac:dyDescent="0.35">
      <c r="B32" s="29"/>
    </row>
    <row r="33" spans="2:2" x14ac:dyDescent="0.35">
      <c r="B33" s="29"/>
    </row>
    <row r="34" spans="2:2" x14ac:dyDescent="0.35">
      <c r="B34" s="29"/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9816-86C1-3D4B-903A-318B309B1BCA}">
  <sheetPr>
    <tabColor rgb="FFFFC000"/>
  </sheetPr>
  <dimension ref="B2:B40"/>
  <sheetViews>
    <sheetView topLeftCell="A18" workbookViewId="0">
      <selection activeCell="B14" sqref="B14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26" t="s">
        <v>67</v>
      </c>
    </row>
    <row r="3" spans="2:2" x14ac:dyDescent="0.35">
      <c r="B3" s="27" t="str">
        <f>HYPERLINK("#TOC!A1","⬅ Back to Table of Contents")</f>
        <v>⬅ Back to Table of Contents</v>
      </c>
    </row>
    <row r="5" spans="2:2" ht="30" x14ac:dyDescent="0.35">
      <c r="B5" s="33" t="s">
        <v>68</v>
      </c>
    </row>
    <row r="6" spans="2:2" ht="90" x14ac:dyDescent="0.35">
      <c r="B6" s="22" t="s">
        <v>69</v>
      </c>
    </row>
    <row r="7" spans="2:2" x14ac:dyDescent="0.35">
      <c r="B7" s="29"/>
    </row>
    <row r="8" spans="2:2" ht="30" x14ac:dyDescent="0.35">
      <c r="B8" s="33" t="s">
        <v>70</v>
      </c>
    </row>
    <row r="9" spans="2:2" ht="90" x14ac:dyDescent="0.35">
      <c r="B9" s="22" t="s">
        <v>71</v>
      </c>
    </row>
    <row r="10" spans="2:2" ht="60" x14ac:dyDescent="0.35">
      <c r="B10" s="22" t="s">
        <v>72</v>
      </c>
    </row>
    <row r="11" spans="2:2" x14ac:dyDescent="0.35">
      <c r="B11" s="29"/>
    </row>
    <row r="12" spans="2:2" ht="30" x14ac:dyDescent="0.35">
      <c r="B12" s="33" t="s">
        <v>73</v>
      </c>
    </row>
    <row r="13" spans="2:2" ht="30" x14ac:dyDescent="0.35">
      <c r="B13" s="22" t="s">
        <v>74</v>
      </c>
    </row>
    <row r="14" spans="2:2" ht="32" x14ac:dyDescent="0.4">
      <c r="B14" s="34" t="s">
        <v>75</v>
      </c>
    </row>
    <row r="15" spans="2:2" ht="60" x14ac:dyDescent="0.35">
      <c r="B15" s="22" t="s">
        <v>76</v>
      </c>
    </row>
    <row r="16" spans="2:2" x14ac:dyDescent="0.35">
      <c r="B16" s="29"/>
    </row>
    <row r="17" spans="2:2" ht="30" x14ac:dyDescent="0.35">
      <c r="B17" s="33" t="s">
        <v>77</v>
      </c>
    </row>
    <row r="18" spans="2:2" ht="60" x14ac:dyDescent="0.35">
      <c r="B18" s="22" t="s">
        <v>78</v>
      </c>
    </row>
    <row r="19" spans="2:2" ht="30" x14ac:dyDescent="0.35">
      <c r="B19" s="22" t="s">
        <v>79</v>
      </c>
    </row>
    <row r="20" spans="2:2" ht="60" x14ac:dyDescent="0.35">
      <c r="B20" s="22" t="s">
        <v>80</v>
      </c>
    </row>
    <row r="21" spans="2:2" x14ac:dyDescent="0.35">
      <c r="B21" s="29"/>
    </row>
    <row r="22" spans="2:2" ht="30" x14ac:dyDescent="0.35">
      <c r="B22" s="33" t="s">
        <v>81</v>
      </c>
    </row>
    <row r="23" spans="2:2" ht="90" x14ac:dyDescent="0.35">
      <c r="B23" s="22" t="s">
        <v>82</v>
      </c>
    </row>
    <row r="24" spans="2:2" x14ac:dyDescent="0.35">
      <c r="B24" s="29"/>
    </row>
    <row r="25" spans="2:2" ht="30" x14ac:dyDescent="0.35">
      <c r="B25" s="35" t="s">
        <v>83</v>
      </c>
    </row>
    <row r="26" spans="2:2" ht="32" x14ac:dyDescent="0.4">
      <c r="B26" s="36" t="s">
        <v>84</v>
      </c>
    </row>
    <row r="27" spans="2:2" ht="32" x14ac:dyDescent="0.4">
      <c r="B27" s="36" t="s">
        <v>85</v>
      </c>
    </row>
    <row r="28" spans="2:2" ht="32" x14ac:dyDescent="0.4">
      <c r="B28" s="36" t="s">
        <v>86</v>
      </c>
    </row>
    <row r="29" spans="2:2" ht="32" x14ac:dyDescent="0.4">
      <c r="B29" s="36" t="s">
        <v>87</v>
      </c>
    </row>
    <row r="30" spans="2:2" ht="32" x14ac:dyDescent="0.4">
      <c r="B30" s="36" t="s">
        <v>88</v>
      </c>
    </row>
    <row r="31" spans="2:2" ht="32" x14ac:dyDescent="0.4">
      <c r="B31" s="36" t="s">
        <v>89</v>
      </c>
    </row>
    <row r="32" spans="2:2" ht="32" x14ac:dyDescent="0.4">
      <c r="B32" s="36" t="s">
        <v>90</v>
      </c>
    </row>
    <row r="33" spans="2:2" x14ac:dyDescent="0.35">
      <c r="B33" s="29"/>
    </row>
    <row r="34" spans="2:2" ht="96" x14ac:dyDescent="0.4">
      <c r="B34" s="37" t="s">
        <v>91</v>
      </c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49F1A-0932-2140-9414-A5578F22A423}">
  <sheetPr>
    <tabColor rgb="FF70AD47"/>
  </sheetPr>
  <dimension ref="B2:B40"/>
  <sheetViews>
    <sheetView topLeftCell="A9" workbookViewId="0">
      <selection activeCell="B22" sqref="B22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38" t="s">
        <v>92</v>
      </c>
    </row>
    <row r="3" spans="2:2" x14ac:dyDescent="0.35">
      <c r="B3" s="39" t="str">
        <f>HYPERLINK("#TOC!A1","⬅ Back to Table of Contents")</f>
        <v>⬅ Back to Table of Contents</v>
      </c>
    </row>
    <row r="5" spans="2:2" ht="30" x14ac:dyDescent="0.35">
      <c r="B5" s="40" t="s">
        <v>93</v>
      </c>
    </row>
    <row r="6" spans="2:2" ht="90" x14ac:dyDescent="0.35">
      <c r="B6" s="22" t="s">
        <v>264</v>
      </c>
    </row>
    <row r="7" spans="2:2" ht="32" x14ac:dyDescent="0.4">
      <c r="B7" s="41" t="s">
        <v>94</v>
      </c>
    </row>
    <row r="8" spans="2:2" x14ac:dyDescent="0.35">
      <c r="B8" s="29"/>
    </row>
    <row r="9" spans="2:2" ht="30" x14ac:dyDescent="0.35">
      <c r="B9" s="40" t="s">
        <v>95</v>
      </c>
    </row>
    <row r="10" spans="2:2" ht="60" x14ac:dyDescent="0.35">
      <c r="B10" s="22" t="s">
        <v>96</v>
      </c>
    </row>
    <row r="11" spans="2:2" ht="30" x14ac:dyDescent="0.35">
      <c r="B11" s="22" t="s">
        <v>97</v>
      </c>
    </row>
    <row r="12" spans="2:2" ht="30" x14ac:dyDescent="0.35">
      <c r="B12" s="22" t="s">
        <v>98</v>
      </c>
    </row>
    <row r="13" spans="2:2" x14ac:dyDescent="0.35">
      <c r="B13" s="29"/>
    </row>
    <row r="14" spans="2:2" ht="30" x14ac:dyDescent="0.35">
      <c r="B14" s="40" t="s">
        <v>99</v>
      </c>
    </row>
    <row r="15" spans="2:2" ht="32" x14ac:dyDescent="0.4">
      <c r="B15" s="42" t="s">
        <v>100</v>
      </c>
    </row>
    <row r="16" spans="2:2" ht="30" x14ac:dyDescent="0.35">
      <c r="B16" s="22" t="s">
        <v>101</v>
      </c>
    </row>
    <row r="17" spans="2:2" ht="30" x14ac:dyDescent="0.35">
      <c r="B17" s="22" t="s">
        <v>102</v>
      </c>
    </row>
    <row r="18" spans="2:2" ht="30" x14ac:dyDescent="0.35">
      <c r="B18" s="22" t="s">
        <v>103</v>
      </c>
    </row>
    <row r="19" spans="2:2" x14ac:dyDescent="0.35">
      <c r="B19" s="29"/>
    </row>
    <row r="20" spans="2:2" ht="30" x14ac:dyDescent="0.35">
      <c r="B20" s="40" t="s">
        <v>104</v>
      </c>
    </row>
    <row r="21" spans="2:2" ht="32" x14ac:dyDescent="0.4">
      <c r="B21" s="43" t="s">
        <v>105</v>
      </c>
    </row>
    <row r="22" spans="2:2" ht="60" x14ac:dyDescent="0.35">
      <c r="B22" s="22" t="s">
        <v>106</v>
      </c>
    </row>
    <row r="23" spans="2:2" x14ac:dyDescent="0.35">
      <c r="B23" s="29"/>
    </row>
    <row r="24" spans="2:2" ht="30" x14ac:dyDescent="0.35">
      <c r="B24" s="40" t="s">
        <v>107</v>
      </c>
    </row>
    <row r="25" spans="2:2" ht="60" x14ac:dyDescent="0.35">
      <c r="B25" s="22" t="s">
        <v>108</v>
      </c>
    </row>
    <row r="26" spans="2:2" x14ac:dyDescent="0.35">
      <c r="B26" s="29"/>
    </row>
    <row r="27" spans="2:2" ht="30" x14ac:dyDescent="0.35">
      <c r="B27" s="40" t="s">
        <v>109</v>
      </c>
    </row>
    <row r="28" spans="2:2" ht="64" x14ac:dyDescent="0.4">
      <c r="B28" s="44" t="s">
        <v>110</v>
      </c>
    </row>
    <row r="29" spans="2:2" ht="60" x14ac:dyDescent="0.35">
      <c r="B29" s="22" t="s">
        <v>111</v>
      </c>
    </row>
    <row r="30" spans="2:2" x14ac:dyDescent="0.35">
      <c r="B30" s="29"/>
    </row>
    <row r="31" spans="2:2" ht="60" x14ac:dyDescent="0.35">
      <c r="B31" s="25" t="s">
        <v>112</v>
      </c>
    </row>
    <row r="32" spans="2:2" x14ac:dyDescent="0.35">
      <c r="B32" s="29"/>
    </row>
    <row r="33" spans="2:2" x14ac:dyDescent="0.35">
      <c r="B33" s="29"/>
    </row>
    <row r="34" spans="2:2" x14ac:dyDescent="0.35">
      <c r="B34" s="29"/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04FC-2B2E-D34F-BFBB-9B84611F99A0}">
  <sheetPr>
    <tabColor rgb="FF5B9BD5"/>
  </sheetPr>
  <dimension ref="B2:B40"/>
  <sheetViews>
    <sheetView workbookViewId="0">
      <selection activeCell="B31" sqref="B31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45" t="s">
        <v>113</v>
      </c>
    </row>
    <row r="3" spans="2:2" x14ac:dyDescent="0.35">
      <c r="B3" s="46" t="str">
        <f>HYPERLINK("#TOC!A1","⬅ Back to Table of Contents")</f>
        <v>⬅ Back to Table of Contents</v>
      </c>
    </row>
    <row r="5" spans="2:2" ht="30" x14ac:dyDescent="0.35">
      <c r="B5" s="47" t="s">
        <v>114</v>
      </c>
    </row>
    <row r="6" spans="2:2" x14ac:dyDescent="0.35">
      <c r="B6" s="29"/>
    </row>
    <row r="7" spans="2:2" ht="30" x14ac:dyDescent="0.35">
      <c r="B7" s="48" t="s">
        <v>115</v>
      </c>
    </row>
    <row r="8" spans="2:2" ht="60" x14ac:dyDescent="0.35">
      <c r="B8" s="22" t="s">
        <v>116</v>
      </c>
    </row>
    <row r="9" spans="2:2" x14ac:dyDescent="0.35">
      <c r="B9" s="29"/>
    </row>
    <row r="10" spans="2:2" ht="30" x14ac:dyDescent="0.35">
      <c r="B10" s="48" t="s">
        <v>117</v>
      </c>
    </row>
    <row r="11" spans="2:2" ht="90" x14ac:dyDescent="0.35">
      <c r="B11" s="22" t="s">
        <v>118</v>
      </c>
    </row>
    <row r="12" spans="2:2" ht="32" x14ac:dyDescent="0.4">
      <c r="B12" s="41" t="s">
        <v>119</v>
      </c>
    </row>
    <row r="13" spans="2:2" x14ac:dyDescent="0.35">
      <c r="B13" s="29"/>
    </row>
    <row r="14" spans="2:2" ht="30" x14ac:dyDescent="0.35">
      <c r="B14" s="48" t="s">
        <v>120</v>
      </c>
    </row>
    <row r="15" spans="2:2" ht="30" x14ac:dyDescent="0.35">
      <c r="B15" s="22" t="s">
        <v>121</v>
      </c>
    </row>
    <row r="16" spans="2:2" x14ac:dyDescent="0.35">
      <c r="B16" s="29"/>
    </row>
    <row r="17" spans="2:2" ht="30" x14ac:dyDescent="0.35">
      <c r="B17" s="48" t="s">
        <v>122</v>
      </c>
    </row>
    <row r="18" spans="2:2" ht="64" customHeight="1" x14ac:dyDescent="0.35">
      <c r="B18" s="22" t="s">
        <v>123</v>
      </c>
    </row>
    <row r="19" spans="2:2" x14ac:dyDescent="0.35">
      <c r="B19" s="29"/>
    </row>
    <row r="20" spans="2:2" ht="30" x14ac:dyDescent="0.35">
      <c r="B20" s="48" t="s">
        <v>124</v>
      </c>
    </row>
    <row r="21" spans="2:2" ht="30" x14ac:dyDescent="0.35">
      <c r="B21" s="22" t="s">
        <v>125</v>
      </c>
    </row>
    <row r="22" spans="2:2" ht="30" x14ac:dyDescent="0.35">
      <c r="B22" s="22" t="s">
        <v>126</v>
      </c>
    </row>
    <row r="23" spans="2:2" ht="30" x14ac:dyDescent="0.35">
      <c r="B23" s="22" t="s">
        <v>127</v>
      </c>
    </row>
    <row r="24" spans="2:2" ht="30" x14ac:dyDescent="0.35">
      <c r="B24" s="22" t="s">
        <v>128</v>
      </c>
    </row>
    <row r="25" spans="2:2" ht="30" x14ac:dyDescent="0.35">
      <c r="B25" s="22" t="s">
        <v>129</v>
      </c>
    </row>
    <row r="26" spans="2:2" x14ac:dyDescent="0.35">
      <c r="B26" s="29"/>
    </row>
    <row r="27" spans="2:2" ht="30" x14ac:dyDescent="0.35">
      <c r="B27" s="48" t="s">
        <v>130</v>
      </c>
    </row>
    <row r="28" spans="2:2" ht="64" x14ac:dyDescent="0.4">
      <c r="B28" s="50" t="s">
        <v>131</v>
      </c>
    </row>
    <row r="29" spans="2:2" x14ac:dyDescent="0.35">
      <c r="B29" s="29"/>
    </row>
    <row r="30" spans="2:2" ht="30" x14ac:dyDescent="0.35">
      <c r="B30" s="48" t="s">
        <v>132</v>
      </c>
    </row>
    <row r="31" spans="2:2" ht="60" x14ac:dyDescent="0.35">
      <c r="B31" s="22" t="s">
        <v>133</v>
      </c>
    </row>
    <row r="32" spans="2:2" x14ac:dyDescent="0.35">
      <c r="B32" s="29"/>
    </row>
    <row r="33" spans="2:2" ht="60" x14ac:dyDescent="0.35">
      <c r="B33" s="49" t="s">
        <v>134</v>
      </c>
    </row>
    <row r="34" spans="2:2" x14ac:dyDescent="0.35">
      <c r="B34" s="29"/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3D54C-7A10-A247-BB0B-A0E209FC548B}">
  <sheetPr>
    <tabColor rgb="FFA5A5A5"/>
  </sheetPr>
  <dimension ref="B2:B40"/>
  <sheetViews>
    <sheetView topLeftCell="A4" workbookViewId="0">
      <selection activeCell="B24" sqref="B24"/>
    </sheetView>
  </sheetViews>
  <sheetFormatPr baseColWidth="10" defaultRowHeight="29" x14ac:dyDescent="0.35"/>
  <cols>
    <col min="1" max="1" width="3" style="1" customWidth="1"/>
    <col min="2" max="2" width="133.33203125" style="1" customWidth="1"/>
    <col min="3" max="16384" width="10.83203125" style="1"/>
  </cols>
  <sheetData>
    <row r="2" spans="2:2" x14ac:dyDescent="0.35">
      <c r="B2" s="51" t="s">
        <v>135</v>
      </c>
    </row>
    <row r="3" spans="2:2" x14ac:dyDescent="0.35">
      <c r="B3" s="52" t="str">
        <f>HYPERLINK("#TOC!A1","⬅ Back to Table of Contents")</f>
        <v>⬅ Back to Table of Contents</v>
      </c>
    </row>
    <row r="5" spans="2:2" ht="30" x14ac:dyDescent="0.35">
      <c r="B5" s="53" t="s">
        <v>136</v>
      </c>
    </row>
    <row r="6" spans="2:2" ht="94" customHeight="1" x14ac:dyDescent="0.35">
      <c r="B6" s="22" t="s">
        <v>137</v>
      </c>
    </row>
    <row r="7" spans="2:2" x14ac:dyDescent="0.35">
      <c r="B7" s="29"/>
    </row>
    <row r="8" spans="2:2" ht="30" x14ac:dyDescent="0.35">
      <c r="B8" s="53" t="s">
        <v>138</v>
      </c>
    </row>
    <row r="9" spans="2:2" ht="32" x14ac:dyDescent="0.4">
      <c r="B9" s="55" t="s">
        <v>139</v>
      </c>
    </row>
    <row r="10" spans="2:2" ht="60" x14ac:dyDescent="0.35">
      <c r="B10" s="22" t="s">
        <v>140</v>
      </c>
    </row>
    <row r="11" spans="2:2" x14ac:dyDescent="0.35">
      <c r="B11" s="29"/>
    </row>
    <row r="12" spans="2:2" ht="30" x14ac:dyDescent="0.35">
      <c r="B12" s="53" t="s">
        <v>141</v>
      </c>
    </row>
    <row r="13" spans="2:2" ht="49" customHeight="1" x14ac:dyDescent="0.4">
      <c r="B13" s="54" t="s">
        <v>142</v>
      </c>
    </row>
    <row r="14" spans="2:2" ht="60" x14ac:dyDescent="0.35">
      <c r="B14" s="56" t="s">
        <v>143</v>
      </c>
    </row>
    <row r="15" spans="2:2" x14ac:dyDescent="0.35">
      <c r="B15" s="29"/>
    </row>
    <row r="16" spans="2:2" ht="30" x14ac:dyDescent="0.35">
      <c r="B16" s="53" t="s">
        <v>144</v>
      </c>
    </row>
    <row r="17" spans="2:2" ht="60" x14ac:dyDescent="0.35">
      <c r="B17" s="22" t="s">
        <v>145</v>
      </c>
    </row>
    <row r="18" spans="2:2" ht="60" x14ac:dyDescent="0.35">
      <c r="B18" s="22" t="s">
        <v>146</v>
      </c>
    </row>
    <row r="19" spans="2:2" x14ac:dyDescent="0.35">
      <c r="B19" s="29"/>
    </row>
    <row r="20" spans="2:2" ht="30" x14ac:dyDescent="0.35">
      <c r="B20" s="53" t="s">
        <v>147</v>
      </c>
    </row>
    <row r="21" spans="2:2" ht="60" x14ac:dyDescent="0.35">
      <c r="B21" s="57" t="s">
        <v>148</v>
      </c>
    </row>
    <row r="22" spans="2:2" x14ac:dyDescent="0.35">
      <c r="B22" s="29"/>
    </row>
    <row r="23" spans="2:2" ht="30" x14ac:dyDescent="0.35">
      <c r="B23" s="53" t="s">
        <v>149</v>
      </c>
    </row>
    <row r="24" spans="2:2" ht="30" x14ac:dyDescent="0.35">
      <c r="B24" s="22" t="s">
        <v>150</v>
      </c>
    </row>
    <row r="25" spans="2:2" ht="30" x14ac:dyDescent="0.35">
      <c r="B25" s="22" t="s">
        <v>151</v>
      </c>
    </row>
    <row r="26" spans="2:2" ht="60" x14ac:dyDescent="0.35">
      <c r="B26" s="22" t="s">
        <v>152</v>
      </c>
    </row>
    <row r="27" spans="2:2" x14ac:dyDescent="0.35">
      <c r="B27" s="29"/>
    </row>
    <row r="28" spans="2:2" ht="60" x14ac:dyDescent="0.35">
      <c r="B28" s="49" t="s">
        <v>153</v>
      </c>
    </row>
    <row r="29" spans="2:2" x14ac:dyDescent="0.35">
      <c r="B29" s="29"/>
    </row>
    <row r="30" spans="2:2" x14ac:dyDescent="0.35">
      <c r="B30" s="29"/>
    </row>
    <row r="31" spans="2:2" x14ac:dyDescent="0.35">
      <c r="B31" s="29"/>
    </row>
    <row r="32" spans="2:2" x14ac:dyDescent="0.35">
      <c r="B32" s="29"/>
    </row>
    <row r="33" spans="2:2" x14ac:dyDescent="0.35">
      <c r="B33" s="29"/>
    </row>
    <row r="34" spans="2:2" x14ac:dyDescent="0.35">
      <c r="B34" s="29"/>
    </row>
    <row r="35" spans="2:2" x14ac:dyDescent="0.35">
      <c r="B35" s="29"/>
    </row>
    <row r="36" spans="2:2" x14ac:dyDescent="0.35">
      <c r="B36" s="29"/>
    </row>
    <row r="37" spans="2:2" x14ac:dyDescent="0.35">
      <c r="B37" s="29"/>
    </row>
    <row r="38" spans="2:2" x14ac:dyDescent="0.35">
      <c r="B38" s="29"/>
    </row>
    <row r="39" spans="2:2" x14ac:dyDescent="0.35">
      <c r="B39" s="29"/>
    </row>
    <row r="40" spans="2:2" x14ac:dyDescent="0.35">
      <c r="B40" s="2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19F9B-4B49-B248-810B-A55BCBE0E418}">
  <sheetPr>
    <tabColor rgb="FFC00000"/>
  </sheetPr>
  <dimension ref="B2:Q45"/>
  <sheetViews>
    <sheetView workbookViewId="0">
      <selection activeCell="H11" sqref="H11"/>
    </sheetView>
  </sheetViews>
  <sheetFormatPr baseColWidth="10" defaultRowHeight="29" x14ac:dyDescent="0.35"/>
  <cols>
    <col min="1" max="1" width="3" style="1" customWidth="1"/>
    <col min="2" max="2" width="10" style="1" customWidth="1"/>
    <col min="3" max="4" width="15" style="1" customWidth="1"/>
    <col min="5" max="5" width="22.5" style="1" customWidth="1"/>
    <col min="6" max="6" width="22.1640625" style="1" customWidth="1"/>
    <col min="7" max="7" width="15" style="1" customWidth="1"/>
    <col min="8" max="8" width="40.83203125" style="1" customWidth="1"/>
    <col min="9" max="14" width="15" style="1" customWidth="1"/>
    <col min="15" max="15" width="3.33203125" style="1" customWidth="1"/>
    <col min="16" max="23" width="11.6640625" style="1" customWidth="1"/>
    <col min="24" max="16384" width="10.83203125" style="1"/>
  </cols>
  <sheetData>
    <row r="2" spans="2:14" x14ac:dyDescent="0.35">
      <c r="B2" s="58" t="s">
        <v>154</v>
      </c>
    </row>
    <row r="3" spans="2:14" x14ac:dyDescent="0.35">
      <c r="B3" s="59" t="str">
        <f>HYPERLINK("#TOC!A1","⬅ Back to Table of Contents")</f>
        <v>⬅ Back to Table of Contents</v>
      </c>
    </row>
    <row r="5" spans="2:14" x14ac:dyDescent="0.35">
      <c r="B5" s="60" t="s">
        <v>155</v>
      </c>
    </row>
    <row r="6" spans="2:14" x14ac:dyDescent="0.35">
      <c r="B6" s="60" t="s">
        <v>156</v>
      </c>
    </row>
    <row r="8" spans="2:14" x14ac:dyDescent="0.35">
      <c r="B8" s="143" t="s">
        <v>157</v>
      </c>
      <c r="C8" s="143"/>
      <c r="D8" s="143"/>
      <c r="E8" s="143"/>
      <c r="F8" s="143"/>
      <c r="H8" s="143" t="s">
        <v>167</v>
      </c>
      <c r="I8" s="143"/>
      <c r="J8" s="143"/>
      <c r="L8" s="144" t="s">
        <v>177</v>
      </c>
      <c r="M8" s="144"/>
      <c r="N8" s="144"/>
    </row>
    <row r="9" spans="2:14" ht="60" x14ac:dyDescent="0.35">
      <c r="B9" s="79" t="s">
        <v>158</v>
      </c>
      <c r="C9" s="79" t="s">
        <v>159</v>
      </c>
      <c r="D9" s="79" t="s">
        <v>160</v>
      </c>
      <c r="E9" s="79" t="s">
        <v>161</v>
      </c>
      <c r="F9" s="79" t="s">
        <v>162</v>
      </c>
      <c r="H9" s="82"/>
      <c r="I9" s="83" t="s">
        <v>159</v>
      </c>
      <c r="J9" s="83" t="s">
        <v>160</v>
      </c>
      <c r="L9" s="83" t="s">
        <v>178</v>
      </c>
      <c r="M9" s="83" t="s">
        <v>179</v>
      </c>
      <c r="N9" s="83" t="s">
        <v>180</v>
      </c>
    </row>
    <row r="10" spans="2:14" x14ac:dyDescent="0.35">
      <c r="B10" s="80">
        <v>1</v>
      </c>
      <c r="C10" s="80">
        <v>2.5</v>
      </c>
      <c r="D10" s="80">
        <v>2.4</v>
      </c>
      <c r="E10" s="81">
        <f>C10-$C$21</f>
        <v>0.69</v>
      </c>
      <c r="F10" s="81">
        <f>D10-$D$21</f>
        <v>0.49000000000000021</v>
      </c>
      <c r="H10" s="84" t="s">
        <v>159</v>
      </c>
      <c r="I10" s="85">
        <f>_xlfn.VAR.S(C10:C19)</f>
        <v>0.61655555555555475</v>
      </c>
      <c r="J10" s="85">
        <f>_xlfn.COVARIANCE.S(C10:C19,D10:D19)</f>
        <v>0.61544444444444446</v>
      </c>
      <c r="L10" s="86" t="s">
        <v>181</v>
      </c>
      <c r="M10" s="87">
        <f>J10/SQRT(J10^2+(I17-I10)^2)</f>
        <v>0.6778733985280111</v>
      </c>
      <c r="N10" s="87">
        <f>(I17-I10)/SQRT(J10^2+(I17-I10)^2)</f>
        <v>0.73517865554440864</v>
      </c>
    </row>
    <row r="11" spans="2:14" x14ac:dyDescent="0.35">
      <c r="B11" s="80">
        <v>2</v>
      </c>
      <c r="C11" s="80">
        <v>0.5</v>
      </c>
      <c r="D11" s="80">
        <v>0.7</v>
      </c>
      <c r="E11" s="81">
        <f t="shared" ref="E11:E19" si="0">C11-$C$21</f>
        <v>-1.31</v>
      </c>
      <c r="F11" s="81">
        <f t="shared" ref="F11:F19" si="1">D11-$D$21</f>
        <v>-1.2099999999999997</v>
      </c>
      <c r="H11" s="84" t="s">
        <v>160</v>
      </c>
      <c r="I11" s="85">
        <f>_xlfn.COVARIANCE.S(C10:C19,D10:D19)</f>
        <v>0.61544444444444446</v>
      </c>
      <c r="J11" s="85">
        <f>_xlfn.VAR.S(D10:D19)</f>
        <v>0.71655555555555694</v>
      </c>
      <c r="L11" s="86" t="s">
        <v>182</v>
      </c>
      <c r="M11" s="87">
        <f>-N10</f>
        <v>-0.73517865554440864</v>
      </c>
      <c r="N11" s="87">
        <f>M10</f>
        <v>0.6778733985280111</v>
      </c>
    </row>
    <row r="12" spans="2:14" x14ac:dyDescent="0.35">
      <c r="B12" s="80">
        <v>3</v>
      </c>
      <c r="C12" s="80">
        <v>2.2000000000000002</v>
      </c>
      <c r="D12" s="80">
        <v>2.9</v>
      </c>
      <c r="E12" s="81">
        <f t="shared" si="0"/>
        <v>0.39000000000000012</v>
      </c>
      <c r="F12" s="81">
        <f t="shared" si="1"/>
        <v>0.99000000000000021</v>
      </c>
    </row>
    <row r="13" spans="2:14" x14ac:dyDescent="0.35">
      <c r="B13" s="80">
        <v>4</v>
      </c>
      <c r="C13" s="80">
        <v>1.9</v>
      </c>
      <c r="D13" s="80">
        <v>2.2000000000000002</v>
      </c>
      <c r="E13" s="81">
        <f t="shared" si="0"/>
        <v>8.9999999999999858E-2</v>
      </c>
      <c r="F13" s="81">
        <f t="shared" si="1"/>
        <v>0.29000000000000048</v>
      </c>
      <c r="H13" s="144" t="s">
        <v>168</v>
      </c>
      <c r="I13" s="144"/>
      <c r="J13" s="144"/>
      <c r="L13" s="67" t="s">
        <v>183</v>
      </c>
    </row>
    <row r="14" spans="2:14" x14ac:dyDescent="0.35">
      <c r="B14" s="80">
        <v>5</v>
      </c>
      <c r="C14" s="80">
        <v>3.1</v>
      </c>
      <c r="D14" s="80">
        <v>3</v>
      </c>
      <c r="E14" s="81">
        <f t="shared" si="0"/>
        <v>1.29</v>
      </c>
      <c r="F14" s="81">
        <f t="shared" si="1"/>
        <v>1.0900000000000003</v>
      </c>
      <c r="H14" s="68" t="s">
        <v>169</v>
      </c>
      <c r="I14" s="63">
        <f>I10+J11</f>
        <v>1.3331111111111116</v>
      </c>
    </row>
    <row r="15" spans="2:14" x14ac:dyDescent="0.35">
      <c r="B15" s="80">
        <v>6</v>
      </c>
      <c r="C15" s="80">
        <v>2.2999999999999998</v>
      </c>
      <c r="D15" s="80">
        <v>2.7</v>
      </c>
      <c r="E15" s="81">
        <f t="shared" si="0"/>
        <v>0.48999999999999977</v>
      </c>
      <c r="F15" s="81">
        <f t="shared" si="1"/>
        <v>0.79000000000000048</v>
      </c>
      <c r="H15" s="68" t="s">
        <v>170</v>
      </c>
      <c r="I15" s="63">
        <f>I10*J11-J10*I11</f>
        <v>6.3024444444444716E-2</v>
      </c>
    </row>
    <row r="16" spans="2:14" x14ac:dyDescent="0.35">
      <c r="B16" s="80">
        <v>7</v>
      </c>
      <c r="C16" s="80">
        <v>2</v>
      </c>
      <c r="D16" s="80">
        <v>1.6</v>
      </c>
      <c r="E16" s="81">
        <f t="shared" si="0"/>
        <v>0.18999999999999995</v>
      </c>
      <c r="F16" s="81">
        <f t="shared" si="1"/>
        <v>-0.30999999999999961</v>
      </c>
      <c r="H16" s="68" t="s">
        <v>171</v>
      </c>
      <c r="I16" s="63">
        <f>SQRT(I14^2-4*I15)</f>
        <v>1.2349443132344566</v>
      </c>
    </row>
    <row r="17" spans="2:9" x14ac:dyDescent="0.35">
      <c r="B17" s="80">
        <v>8</v>
      </c>
      <c r="C17" s="80">
        <v>1</v>
      </c>
      <c r="D17" s="80">
        <v>1.1000000000000001</v>
      </c>
      <c r="E17" s="81">
        <f t="shared" si="0"/>
        <v>-0.81</v>
      </c>
      <c r="F17" s="81">
        <f t="shared" si="1"/>
        <v>-0.80999999999999961</v>
      </c>
      <c r="H17" s="65" t="s">
        <v>172</v>
      </c>
      <c r="I17" s="69">
        <f>(I14+I16)/2</f>
        <v>1.2840277121727841</v>
      </c>
    </row>
    <row r="18" spans="2:9" x14ac:dyDescent="0.35">
      <c r="B18" s="80">
        <v>9</v>
      </c>
      <c r="C18" s="80">
        <v>1.5</v>
      </c>
      <c r="D18" s="80">
        <v>1.6</v>
      </c>
      <c r="E18" s="81">
        <f t="shared" si="0"/>
        <v>-0.31000000000000005</v>
      </c>
      <c r="F18" s="81">
        <f t="shared" si="1"/>
        <v>-0.30999999999999961</v>
      </c>
      <c r="H18" s="65" t="s">
        <v>173</v>
      </c>
      <c r="I18" s="69">
        <f>(I14-I16)/2</f>
        <v>4.9083398938327472E-2</v>
      </c>
    </row>
    <row r="19" spans="2:9" x14ac:dyDescent="0.35">
      <c r="B19" s="80">
        <v>10</v>
      </c>
      <c r="C19" s="80">
        <v>1.1000000000000001</v>
      </c>
      <c r="D19" s="80">
        <v>0.9</v>
      </c>
      <c r="E19" s="81">
        <f t="shared" si="0"/>
        <v>-0.71</v>
      </c>
      <c r="F19" s="81">
        <f t="shared" si="1"/>
        <v>-1.0099999999999998</v>
      </c>
    </row>
    <row r="20" spans="2:9" x14ac:dyDescent="0.35">
      <c r="H20" s="144" t="s">
        <v>174</v>
      </c>
      <c r="I20" s="144"/>
    </row>
    <row r="21" spans="2:9" x14ac:dyDescent="0.35">
      <c r="B21" s="70" t="s">
        <v>163</v>
      </c>
      <c r="C21" s="71">
        <f>AVERAGE(C10:C19)</f>
        <v>1.81</v>
      </c>
      <c r="D21" s="71">
        <f>AVERAGE(D10:D19)</f>
        <v>1.9099999999999997</v>
      </c>
      <c r="H21" s="1" t="s">
        <v>175</v>
      </c>
      <c r="I21" s="72">
        <f>I17/(I17+I18)</f>
        <v>0.96318131434864585</v>
      </c>
    </row>
    <row r="22" spans="2:9" x14ac:dyDescent="0.35">
      <c r="B22" s="70" t="s">
        <v>164</v>
      </c>
      <c r="C22" s="71">
        <f>_xlfn.STDEV.S(C10:C19)</f>
        <v>0.78521051671227304</v>
      </c>
      <c r="D22" s="71">
        <f>_xlfn.STDEV.S(D10:D19)</f>
        <v>0.84649604580030791</v>
      </c>
      <c r="H22" s="1" t="s">
        <v>176</v>
      </c>
      <c r="I22" s="72">
        <f>I18/(I17+I18)</f>
        <v>3.6818685651354148E-2</v>
      </c>
    </row>
    <row r="23" spans="2:9" x14ac:dyDescent="0.35">
      <c r="B23" s="73" t="s">
        <v>165</v>
      </c>
      <c r="C23" s="74">
        <f>CORREL(C10:C19,D10:D19)</f>
        <v>0.92592927269224534</v>
      </c>
      <c r="D23" s="75" t="s">
        <v>166</v>
      </c>
    </row>
    <row r="25" spans="2:9" x14ac:dyDescent="0.35">
      <c r="B25" s="58" t="s">
        <v>184</v>
      </c>
    </row>
    <row r="26" spans="2:9" x14ac:dyDescent="0.35">
      <c r="B26" s="61" t="s">
        <v>158</v>
      </c>
      <c r="C26" s="61" t="s">
        <v>185</v>
      </c>
      <c r="D26" s="61" t="s">
        <v>186</v>
      </c>
    </row>
    <row r="27" spans="2:9" x14ac:dyDescent="0.35">
      <c r="B27" s="1">
        <f>B10</f>
        <v>1</v>
      </c>
      <c r="C27" s="63">
        <f>E10*$M$10+F10*$N$10</f>
        <v>0.82797018620108798</v>
      </c>
      <c r="D27" s="63">
        <f>E10*$M$11+F10*$N$11</f>
        <v>-0.1751153070469163</v>
      </c>
    </row>
    <row r="28" spans="2:9" x14ac:dyDescent="0.35">
      <c r="B28" s="1">
        <f t="shared" ref="B28:B36" si="2">B11</f>
        <v>2</v>
      </c>
      <c r="C28" s="63">
        <f t="shared" ref="C28:C36" si="3">E11*$M$10+F11*$N$10</f>
        <v>-1.7775803252804288</v>
      </c>
      <c r="D28" s="63">
        <f t="shared" ref="D28:D36" si="4">E11*$M$11+F11*$N$11</f>
        <v>0.14285722654428212</v>
      </c>
    </row>
    <row r="29" spans="2:9" x14ac:dyDescent="0.35">
      <c r="B29" s="1">
        <f t="shared" si="2"/>
        <v>3</v>
      </c>
      <c r="C29" s="63">
        <f t="shared" si="3"/>
        <v>0.99219749441488925</v>
      </c>
      <c r="D29" s="63">
        <f t="shared" si="4"/>
        <v>0.38437498888041166</v>
      </c>
    </row>
    <row r="30" spans="2:9" x14ac:dyDescent="0.35">
      <c r="B30" s="1">
        <f t="shared" si="2"/>
        <v>4</v>
      </c>
      <c r="C30" s="63">
        <f t="shared" si="3"/>
        <v>0.27421041597539975</v>
      </c>
      <c r="D30" s="63">
        <f t="shared" si="4"/>
        <v>0.13041720657412686</v>
      </c>
    </row>
    <row r="31" spans="2:9" x14ac:dyDescent="0.35">
      <c r="B31" s="1">
        <f t="shared" si="2"/>
        <v>5</v>
      </c>
      <c r="C31" s="63">
        <f t="shared" si="3"/>
        <v>1.6758014186445398</v>
      </c>
      <c r="D31" s="63">
        <f t="shared" si="4"/>
        <v>-0.20949846125675486</v>
      </c>
    </row>
    <row r="32" spans="2:9" x14ac:dyDescent="0.35">
      <c r="B32" s="1">
        <f t="shared" si="2"/>
        <v>6</v>
      </c>
      <c r="C32" s="63">
        <f t="shared" si="3"/>
        <v>0.91294910315880839</v>
      </c>
      <c r="D32" s="63">
        <f t="shared" si="4"/>
        <v>0.17528244362036899</v>
      </c>
    </row>
    <row r="33" spans="2:17" x14ac:dyDescent="0.35">
      <c r="B33" s="1">
        <f t="shared" si="2"/>
        <v>7</v>
      </c>
      <c r="C33" s="63">
        <f t="shared" si="3"/>
        <v>-9.9109437498444308E-2</v>
      </c>
      <c r="D33" s="63">
        <f t="shared" si="4"/>
        <v>-0.3498246980971208</v>
      </c>
    </row>
    <row r="34" spans="2:17" x14ac:dyDescent="0.35">
      <c r="B34" s="1">
        <f t="shared" si="2"/>
        <v>8</v>
      </c>
      <c r="C34" s="63">
        <f t="shared" si="3"/>
        <v>-1.1445721637986597</v>
      </c>
      <c r="D34" s="63">
        <f t="shared" si="4"/>
        <v>4.6417258183282351E-2</v>
      </c>
      <c r="P34" s="68" t="s">
        <v>194</v>
      </c>
      <c r="Q34" s="68" t="s">
        <v>195</v>
      </c>
    </row>
    <row r="35" spans="2:17" x14ac:dyDescent="0.35">
      <c r="B35" s="1">
        <f t="shared" si="2"/>
        <v>9</v>
      </c>
      <c r="C35" s="63">
        <f t="shared" si="3"/>
        <v>-0.43804613676244986</v>
      </c>
      <c r="D35" s="63">
        <f t="shared" si="4"/>
        <v>1.7764629675083549E-2</v>
      </c>
      <c r="P35" s="1" t="s">
        <v>181</v>
      </c>
      <c r="Q35" s="76">
        <f>I21</f>
        <v>0.96318131434864585</v>
      </c>
    </row>
    <row r="36" spans="2:17" x14ac:dyDescent="0.35">
      <c r="B36" s="1">
        <f t="shared" si="2"/>
        <v>10</v>
      </c>
      <c r="C36" s="63">
        <f t="shared" si="3"/>
        <v>-1.2238205550547403</v>
      </c>
      <c r="D36" s="63">
        <f t="shared" si="4"/>
        <v>-0.16267528707676093</v>
      </c>
      <c r="P36" s="1" t="s">
        <v>182</v>
      </c>
      <c r="Q36" s="76">
        <f>I22</f>
        <v>3.6818685651354148E-2</v>
      </c>
    </row>
    <row r="38" spans="2:17" x14ac:dyDescent="0.35">
      <c r="B38" s="65" t="s">
        <v>187</v>
      </c>
      <c r="D38" s="77">
        <f>CORREL(C27:C36,D27:D36)</f>
        <v>-4.0415607755101879E-15</v>
      </c>
      <c r="E38" s="78" t="s">
        <v>188</v>
      </c>
    </row>
    <row r="40" spans="2:17" x14ac:dyDescent="0.35">
      <c r="B40" s="58" t="s">
        <v>189</v>
      </c>
    </row>
    <row r="41" spans="2:17" x14ac:dyDescent="0.35">
      <c r="B41" s="18" t="s">
        <v>190</v>
      </c>
    </row>
    <row r="42" spans="2:17" x14ac:dyDescent="0.35">
      <c r="B42" s="18" t="s">
        <v>191</v>
      </c>
    </row>
    <row r="43" spans="2:17" x14ac:dyDescent="0.35">
      <c r="B43" s="18" t="s">
        <v>192</v>
      </c>
    </row>
    <row r="45" spans="2:17" x14ac:dyDescent="0.35">
      <c r="B45" s="19" t="s">
        <v>193</v>
      </c>
    </row>
  </sheetData>
  <mergeCells count="5">
    <mergeCell ref="H8:J8"/>
    <mergeCell ref="B8:F8"/>
    <mergeCell ref="L8:N8"/>
    <mergeCell ref="H13:J13"/>
    <mergeCell ref="H20:I2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60AD-4FF8-1949-8467-0A2198E2CC5D}">
  <sheetPr>
    <tabColor rgb="FF7030A0"/>
  </sheetPr>
  <dimension ref="B2:C22"/>
  <sheetViews>
    <sheetView workbookViewId="0">
      <selection activeCell="B15" sqref="B15"/>
    </sheetView>
  </sheetViews>
  <sheetFormatPr baseColWidth="10" defaultRowHeight="29" x14ac:dyDescent="0.35"/>
  <cols>
    <col min="1" max="1" width="3" style="1" customWidth="1"/>
    <col min="2" max="3" width="70" style="1" customWidth="1"/>
    <col min="4" max="16384" width="10.83203125" style="1"/>
  </cols>
  <sheetData>
    <row r="2" spans="2:3" x14ac:dyDescent="0.35">
      <c r="B2" s="145" t="s">
        <v>196</v>
      </c>
      <c r="C2" s="145"/>
    </row>
    <row r="3" spans="2:3" x14ac:dyDescent="0.35">
      <c r="B3" s="88" t="str">
        <f>HYPERLINK("#TOC!A1","⬅ Back to Table of Contents")</f>
        <v>⬅ Back to Table of Contents</v>
      </c>
    </row>
    <row r="5" spans="2:3" x14ac:dyDescent="0.35">
      <c r="B5" s="89" t="s">
        <v>197</v>
      </c>
      <c r="C5" s="58" t="s">
        <v>198</v>
      </c>
    </row>
    <row r="6" spans="2:3" s="29" customFormat="1" ht="36" customHeight="1" x14ac:dyDescent="0.35">
      <c r="B6" s="90" t="s">
        <v>199</v>
      </c>
      <c r="C6" s="91" t="s">
        <v>200</v>
      </c>
    </row>
    <row r="7" spans="2:3" s="29" customFormat="1" ht="36" customHeight="1" x14ac:dyDescent="0.35">
      <c r="B7" s="90" t="s">
        <v>201</v>
      </c>
      <c r="C7" s="91" t="s">
        <v>202</v>
      </c>
    </row>
    <row r="8" spans="2:3" s="29" customFormat="1" ht="36" customHeight="1" x14ac:dyDescent="0.35">
      <c r="B8" s="90" t="s">
        <v>203</v>
      </c>
      <c r="C8" s="91" t="s">
        <v>204</v>
      </c>
    </row>
    <row r="9" spans="2:3" s="29" customFormat="1" ht="36" customHeight="1" x14ac:dyDescent="0.35">
      <c r="B9" s="90" t="s">
        <v>205</v>
      </c>
      <c r="C9" s="91" t="s">
        <v>206</v>
      </c>
    </row>
    <row r="10" spans="2:3" s="29" customFormat="1" ht="36" customHeight="1" x14ac:dyDescent="0.35">
      <c r="B10" s="90" t="s">
        <v>207</v>
      </c>
      <c r="C10" s="91" t="s">
        <v>208</v>
      </c>
    </row>
    <row r="11" spans="2:3" s="29" customFormat="1" ht="36" customHeight="1" x14ac:dyDescent="0.35">
      <c r="B11" s="90" t="s">
        <v>209</v>
      </c>
      <c r="C11" s="91" t="s">
        <v>210</v>
      </c>
    </row>
    <row r="14" spans="2:3" x14ac:dyDescent="0.35">
      <c r="B14" s="58" t="s">
        <v>211</v>
      </c>
    </row>
    <row r="15" spans="2:3" s="29" customFormat="1" ht="90" x14ac:dyDescent="0.35">
      <c r="B15" s="22" t="s">
        <v>212</v>
      </c>
    </row>
    <row r="16" spans="2:3" s="29" customFormat="1" ht="90" x14ac:dyDescent="0.35">
      <c r="B16" s="22" t="s">
        <v>213</v>
      </c>
    </row>
    <row r="17" spans="2:2" s="29" customFormat="1" ht="90" x14ac:dyDescent="0.35">
      <c r="B17" s="22" t="s">
        <v>214</v>
      </c>
    </row>
    <row r="18" spans="2:2" s="29" customFormat="1" ht="60" x14ac:dyDescent="0.35">
      <c r="B18" s="22" t="s">
        <v>215</v>
      </c>
    </row>
    <row r="19" spans="2:2" s="29" customFormat="1" ht="90" x14ac:dyDescent="0.35">
      <c r="B19" s="22" t="s">
        <v>216</v>
      </c>
    </row>
    <row r="20" spans="2:2" s="29" customFormat="1" x14ac:dyDescent="0.35"/>
    <row r="21" spans="2:2" s="29" customFormat="1" ht="30" x14ac:dyDescent="0.35">
      <c r="B21" s="92" t="s">
        <v>217</v>
      </c>
    </row>
    <row r="22" spans="2:2" s="29" customFormat="1" ht="150" x14ac:dyDescent="0.35">
      <c r="B22" s="90" t="s">
        <v>218</v>
      </c>
    </row>
  </sheetData>
  <mergeCells count="1">
    <mergeCell ref="B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7A44-8B08-4546-954D-971211F2B94C}">
  <sheetPr>
    <tabColor rgb="FF264478"/>
  </sheetPr>
  <dimension ref="B2:C36"/>
  <sheetViews>
    <sheetView workbookViewId="0">
      <selection activeCell="C10" sqref="C10"/>
    </sheetView>
  </sheetViews>
  <sheetFormatPr baseColWidth="10" defaultRowHeight="29" x14ac:dyDescent="0.35"/>
  <cols>
    <col min="1" max="1" width="3" style="1" customWidth="1"/>
    <col min="2" max="2" width="36.6640625" style="1" customWidth="1"/>
    <col min="3" max="3" width="93.33203125" style="1" customWidth="1"/>
    <col min="4" max="16384" width="10.83203125" style="1"/>
  </cols>
  <sheetData>
    <row r="2" spans="2:3" x14ac:dyDescent="0.35">
      <c r="B2" s="146" t="s">
        <v>219</v>
      </c>
      <c r="C2" s="146"/>
    </row>
    <row r="3" spans="2:3" x14ac:dyDescent="0.35">
      <c r="B3" s="94" t="str">
        <f>HYPERLINK("#TOC!A1","⬅ Back to Table of Contents")</f>
        <v>⬅ Back to Table of Contents</v>
      </c>
    </row>
    <row r="5" spans="2:3" x14ac:dyDescent="0.35">
      <c r="B5" s="93" t="s">
        <v>220</v>
      </c>
    </row>
    <row r="6" spans="2:3" x14ac:dyDescent="0.35">
      <c r="B6" s="95" t="s">
        <v>221</v>
      </c>
      <c r="C6" s="95" t="s">
        <v>222</v>
      </c>
    </row>
    <row r="7" spans="2:3" ht="28" customHeight="1" x14ac:dyDescent="0.35">
      <c r="B7" s="29" t="s">
        <v>223</v>
      </c>
      <c r="C7" s="29" t="s">
        <v>224</v>
      </c>
    </row>
    <row r="8" spans="2:3" ht="28" customHeight="1" x14ac:dyDescent="0.35">
      <c r="B8" s="29" t="s">
        <v>225</v>
      </c>
      <c r="C8" s="29" t="s">
        <v>226</v>
      </c>
    </row>
    <row r="9" spans="2:3" ht="28" customHeight="1" x14ac:dyDescent="0.35">
      <c r="B9" s="29" t="s">
        <v>227</v>
      </c>
      <c r="C9" s="29" t="s">
        <v>228</v>
      </c>
    </row>
    <row r="10" spans="2:3" ht="28" customHeight="1" x14ac:dyDescent="0.35">
      <c r="B10" s="29" t="s">
        <v>229</v>
      </c>
      <c r="C10" s="29" t="s">
        <v>230</v>
      </c>
    </row>
    <row r="11" spans="2:3" ht="28" customHeight="1" x14ac:dyDescent="0.35">
      <c r="B11" s="29" t="s">
        <v>231</v>
      </c>
      <c r="C11" s="29" t="s">
        <v>232</v>
      </c>
    </row>
    <row r="12" spans="2:3" ht="28" customHeight="1" x14ac:dyDescent="0.35">
      <c r="B12" s="29" t="s">
        <v>233</v>
      </c>
      <c r="C12" s="29" t="s">
        <v>234</v>
      </c>
    </row>
    <row r="13" spans="2:3" ht="28" customHeight="1" x14ac:dyDescent="0.35">
      <c r="B13" s="29" t="s">
        <v>235</v>
      </c>
      <c r="C13" s="29" t="s">
        <v>236</v>
      </c>
    </row>
    <row r="14" spans="2:3" ht="28" customHeight="1" x14ac:dyDescent="0.35">
      <c r="B14" s="29" t="s">
        <v>237</v>
      </c>
      <c r="C14" s="29" t="s">
        <v>238</v>
      </c>
    </row>
    <row r="15" spans="2:3" ht="28" customHeight="1" x14ac:dyDescent="0.35">
      <c r="B15" s="29" t="s">
        <v>239</v>
      </c>
      <c r="C15" s="29" t="s">
        <v>240</v>
      </c>
    </row>
    <row r="16" spans="2:3" ht="28" customHeight="1" x14ac:dyDescent="0.35">
      <c r="B16" s="29" t="s">
        <v>241</v>
      </c>
      <c r="C16" s="29" t="s">
        <v>242</v>
      </c>
    </row>
    <row r="17" spans="2:3" ht="28" customHeight="1" x14ac:dyDescent="0.35">
      <c r="B17" s="29" t="s">
        <v>243</v>
      </c>
      <c r="C17" s="29" t="s">
        <v>244</v>
      </c>
    </row>
    <row r="18" spans="2:3" ht="28" customHeight="1" x14ac:dyDescent="0.35">
      <c r="B18" s="29" t="s">
        <v>245</v>
      </c>
      <c r="C18" s="29" t="s">
        <v>246</v>
      </c>
    </row>
    <row r="19" spans="2:3" ht="28" customHeight="1" x14ac:dyDescent="0.35">
      <c r="B19" s="29" t="s">
        <v>247</v>
      </c>
      <c r="C19" s="29" t="s">
        <v>248</v>
      </c>
    </row>
    <row r="22" spans="2:3" x14ac:dyDescent="0.35">
      <c r="B22" s="93" t="s">
        <v>249</v>
      </c>
    </row>
    <row r="23" spans="2:3" ht="90" x14ac:dyDescent="0.35">
      <c r="B23" s="96" t="s">
        <v>250</v>
      </c>
    </row>
    <row r="24" spans="2:3" ht="270" x14ac:dyDescent="0.35">
      <c r="B24" s="22" t="s">
        <v>251</v>
      </c>
    </row>
    <row r="25" spans="2:3" ht="60" x14ac:dyDescent="0.35">
      <c r="B25" s="96" t="s">
        <v>252</v>
      </c>
    </row>
    <row r="26" spans="2:3" ht="270" x14ac:dyDescent="0.35">
      <c r="B26" s="22" t="s">
        <v>253</v>
      </c>
    </row>
    <row r="27" spans="2:3" ht="90" x14ac:dyDescent="0.35">
      <c r="B27" s="96" t="s">
        <v>254</v>
      </c>
    </row>
    <row r="28" spans="2:3" ht="300" x14ac:dyDescent="0.35">
      <c r="B28" s="22" t="s">
        <v>255</v>
      </c>
    </row>
    <row r="29" spans="2:3" ht="60" x14ac:dyDescent="0.35">
      <c r="B29" s="96" t="s">
        <v>256</v>
      </c>
    </row>
    <row r="30" spans="2:3" ht="270" x14ac:dyDescent="0.35">
      <c r="B30" s="22" t="s">
        <v>257</v>
      </c>
    </row>
    <row r="31" spans="2:3" ht="30" x14ac:dyDescent="0.35">
      <c r="B31" s="96" t="s">
        <v>258</v>
      </c>
    </row>
    <row r="32" spans="2:3" ht="300" x14ac:dyDescent="0.35">
      <c r="B32" s="22" t="s">
        <v>259</v>
      </c>
    </row>
    <row r="33" spans="2:2" ht="60" x14ac:dyDescent="0.35">
      <c r="B33" s="96" t="s">
        <v>260</v>
      </c>
    </row>
    <row r="34" spans="2:2" ht="240" x14ac:dyDescent="0.35">
      <c r="B34" s="22" t="s">
        <v>261</v>
      </c>
    </row>
    <row r="35" spans="2:2" ht="90" x14ac:dyDescent="0.35">
      <c r="B35" s="96" t="s">
        <v>262</v>
      </c>
    </row>
    <row r="36" spans="2:2" ht="210" x14ac:dyDescent="0.35">
      <c r="B36" s="22" t="s">
        <v>263</v>
      </c>
    </row>
  </sheetData>
  <mergeCells count="1">
    <mergeCell ref="B2:C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9D65-3C29-9643-B7DD-CDC103C43089}">
  <sheetPr>
    <tabColor rgb="FF00B050"/>
  </sheetPr>
  <dimension ref="B2:P119"/>
  <sheetViews>
    <sheetView topLeftCell="A81" workbookViewId="0">
      <selection activeCell="C67" sqref="C67"/>
    </sheetView>
  </sheetViews>
  <sheetFormatPr baseColWidth="10" defaultRowHeight="29" x14ac:dyDescent="0.35"/>
  <cols>
    <col min="1" max="1" width="3" style="1" customWidth="1"/>
    <col min="2" max="2" width="59.6640625" style="1" customWidth="1"/>
    <col min="3" max="3" width="40.1640625" style="1" customWidth="1"/>
    <col min="4" max="4" width="34.33203125" style="1" customWidth="1"/>
    <col min="5" max="7" width="15.83203125" style="1" customWidth="1"/>
    <col min="8" max="8" width="34" style="1" customWidth="1"/>
    <col min="9" max="9" width="3.33203125" style="1" customWidth="1"/>
    <col min="10" max="17" width="14.1640625" style="1" customWidth="1"/>
    <col min="18" max="16384" width="10.83203125" style="1"/>
  </cols>
  <sheetData>
    <row r="2" spans="2:8" x14ac:dyDescent="0.35">
      <c r="B2" s="97" t="s">
        <v>267</v>
      </c>
    </row>
    <row r="3" spans="2:8" x14ac:dyDescent="0.35">
      <c r="B3" s="99" t="str">
        <f>HYPERLINK("#TOC!A1","⬅ Back to Table of Contents")</f>
        <v>⬅ Back to Table of Contents</v>
      </c>
    </row>
    <row r="5" spans="2:8" x14ac:dyDescent="0.35">
      <c r="B5" s="148" t="s">
        <v>268</v>
      </c>
      <c r="C5" s="148"/>
      <c r="D5" s="148"/>
      <c r="E5" s="148"/>
      <c r="F5" s="148"/>
      <c r="G5" s="148"/>
      <c r="H5" s="148"/>
    </row>
    <row r="6" spans="2:8" ht="133" customHeight="1" x14ac:dyDescent="0.35">
      <c r="B6" s="151" t="s">
        <v>339</v>
      </c>
      <c r="C6" s="151"/>
      <c r="D6" s="151"/>
      <c r="E6" s="151"/>
      <c r="F6" s="151"/>
      <c r="G6" s="151"/>
      <c r="H6" s="151"/>
    </row>
    <row r="8" spans="2:8" x14ac:dyDescent="0.35">
      <c r="B8" s="150" t="s">
        <v>269</v>
      </c>
      <c r="C8" s="150"/>
      <c r="D8" s="150"/>
      <c r="E8" s="150"/>
      <c r="F8" s="150"/>
      <c r="G8" s="150"/>
      <c r="H8" s="150"/>
    </row>
    <row r="9" spans="2:8" x14ac:dyDescent="0.35">
      <c r="B9" s="100" t="s">
        <v>270</v>
      </c>
      <c r="C9" s="101" t="s">
        <v>271</v>
      </c>
      <c r="D9" s="101" t="s">
        <v>272</v>
      </c>
      <c r="E9" s="101" t="s">
        <v>273</v>
      </c>
      <c r="F9" s="101" t="s">
        <v>274</v>
      </c>
      <c r="G9" s="101" t="s">
        <v>275</v>
      </c>
      <c r="H9" s="102" t="s">
        <v>276</v>
      </c>
    </row>
    <row r="10" spans="2:8" x14ac:dyDescent="0.35">
      <c r="B10" s="103">
        <v>1</v>
      </c>
      <c r="C10" s="1">
        <v>1500</v>
      </c>
      <c r="D10" s="1">
        <v>3</v>
      </c>
      <c r="E10" s="1">
        <v>20</v>
      </c>
      <c r="F10" s="1">
        <v>5000</v>
      </c>
      <c r="G10" s="1">
        <v>1</v>
      </c>
      <c r="H10" s="104">
        <v>245</v>
      </c>
    </row>
    <row r="11" spans="2:8" x14ac:dyDescent="0.35">
      <c r="B11" s="103">
        <v>2</v>
      </c>
      <c r="C11" s="1">
        <v>2200</v>
      </c>
      <c r="D11" s="1">
        <v>4</v>
      </c>
      <c r="E11" s="1">
        <v>5</v>
      </c>
      <c r="F11" s="1">
        <v>7500</v>
      </c>
      <c r="G11" s="1">
        <v>2</v>
      </c>
      <c r="H11" s="104">
        <v>380</v>
      </c>
    </row>
    <row r="12" spans="2:8" x14ac:dyDescent="0.35">
      <c r="B12" s="103">
        <v>3</v>
      </c>
      <c r="C12" s="1">
        <v>1800</v>
      </c>
      <c r="D12" s="1">
        <v>3</v>
      </c>
      <c r="E12" s="1">
        <v>15</v>
      </c>
      <c r="F12" s="1">
        <v>6000</v>
      </c>
      <c r="G12" s="1">
        <v>2</v>
      </c>
      <c r="H12" s="104">
        <v>295</v>
      </c>
    </row>
    <row r="13" spans="2:8" x14ac:dyDescent="0.35">
      <c r="B13" s="103">
        <v>4</v>
      </c>
      <c r="C13" s="1">
        <v>2500</v>
      </c>
      <c r="D13" s="1">
        <v>4</v>
      </c>
      <c r="E13" s="1">
        <v>8</v>
      </c>
      <c r="F13" s="1">
        <v>8200</v>
      </c>
      <c r="G13" s="1">
        <v>2</v>
      </c>
      <c r="H13" s="104">
        <v>425</v>
      </c>
    </row>
    <row r="14" spans="2:8" x14ac:dyDescent="0.35">
      <c r="B14" s="103">
        <v>5</v>
      </c>
      <c r="C14" s="1">
        <v>1200</v>
      </c>
      <c r="D14" s="1">
        <v>2</v>
      </c>
      <c r="E14" s="1">
        <v>35</v>
      </c>
      <c r="F14" s="1">
        <v>4200</v>
      </c>
      <c r="G14" s="1">
        <v>1</v>
      </c>
      <c r="H14" s="104">
        <v>180</v>
      </c>
    </row>
    <row r="15" spans="2:8" x14ac:dyDescent="0.35">
      <c r="B15" s="103">
        <v>6</v>
      </c>
      <c r="C15" s="1">
        <v>3000</v>
      </c>
      <c r="D15" s="1">
        <v>5</v>
      </c>
      <c r="E15" s="1">
        <v>3</v>
      </c>
      <c r="F15" s="1">
        <v>10000</v>
      </c>
      <c r="G15" s="1">
        <v>3</v>
      </c>
      <c r="H15" s="104">
        <v>540</v>
      </c>
    </row>
    <row r="16" spans="2:8" x14ac:dyDescent="0.35">
      <c r="B16" s="103">
        <v>7</v>
      </c>
      <c r="C16" s="1">
        <v>1700</v>
      </c>
      <c r="D16" s="1">
        <v>3</v>
      </c>
      <c r="E16" s="1">
        <v>25</v>
      </c>
      <c r="F16" s="1">
        <v>5500</v>
      </c>
      <c r="G16" s="1">
        <v>1</v>
      </c>
      <c r="H16" s="104">
        <v>265</v>
      </c>
    </row>
    <row r="17" spans="2:16" x14ac:dyDescent="0.35">
      <c r="B17" s="103">
        <v>8</v>
      </c>
      <c r="C17" s="1">
        <v>2800</v>
      </c>
      <c r="D17" s="1">
        <v>4</v>
      </c>
      <c r="E17" s="1">
        <v>10</v>
      </c>
      <c r="F17" s="1">
        <v>9000</v>
      </c>
      <c r="G17" s="1">
        <v>2</v>
      </c>
      <c r="H17" s="104">
        <v>475</v>
      </c>
    </row>
    <row r="18" spans="2:16" x14ac:dyDescent="0.35">
      <c r="B18" s="103">
        <v>9</v>
      </c>
      <c r="C18" s="1">
        <v>2000</v>
      </c>
      <c r="D18" s="1">
        <v>3</v>
      </c>
      <c r="E18" s="1">
        <v>18</v>
      </c>
      <c r="F18" s="1">
        <v>6500</v>
      </c>
      <c r="G18" s="1">
        <v>2</v>
      </c>
      <c r="H18" s="104">
        <v>320</v>
      </c>
    </row>
    <row r="19" spans="2:16" x14ac:dyDescent="0.35">
      <c r="B19" s="103">
        <v>10</v>
      </c>
      <c r="C19" s="1">
        <v>1400</v>
      </c>
      <c r="D19" s="1">
        <v>2</v>
      </c>
      <c r="E19" s="1">
        <v>30</v>
      </c>
      <c r="F19" s="1">
        <v>4800</v>
      </c>
      <c r="G19" s="1">
        <v>1</v>
      </c>
      <c r="H19" s="104">
        <v>210</v>
      </c>
    </row>
    <row r="20" spans="2:16" x14ac:dyDescent="0.35">
      <c r="B20" s="103">
        <v>11</v>
      </c>
      <c r="C20" s="1">
        <v>2600</v>
      </c>
      <c r="D20" s="1">
        <v>4</v>
      </c>
      <c r="E20" s="1">
        <v>7</v>
      </c>
      <c r="F20" s="1">
        <v>8500</v>
      </c>
      <c r="G20" s="1">
        <v>3</v>
      </c>
      <c r="H20" s="104">
        <v>455</v>
      </c>
    </row>
    <row r="21" spans="2:16" x14ac:dyDescent="0.35">
      <c r="B21" s="105">
        <v>12</v>
      </c>
      <c r="C21" s="106">
        <v>1900</v>
      </c>
      <c r="D21" s="106">
        <v>3</v>
      </c>
      <c r="E21" s="106">
        <v>22</v>
      </c>
      <c r="F21" s="106">
        <v>6200</v>
      </c>
      <c r="G21" s="106">
        <v>2</v>
      </c>
      <c r="H21" s="107">
        <v>305</v>
      </c>
    </row>
    <row r="23" spans="2:16" ht="30" thickBot="1" x14ac:dyDescent="0.4">
      <c r="B23" s="147" t="s">
        <v>277</v>
      </c>
      <c r="C23" s="147"/>
      <c r="D23" s="147"/>
      <c r="E23" s="147"/>
      <c r="F23" s="147"/>
      <c r="G23" s="147"/>
      <c r="H23" s="147"/>
      <c r="J23" s="152" t="s">
        <v>340</v>
      </c>
      <c r="K23" s="152"/>
      <c r="L23" s="152"/>
      <c r="M23" s="152"/>
      <c r="N23" s="152"/>
      <c r="O23" s="152"/>
      <c r="P23" s="152"/>
    </row>
    <row r="24" spans="2:16" x14ac:dyDescent="0.35">
      <c r="B24" s="62"/>
      <c r="C24" s="108" t="s">
        <v>278</v>
      </c>
      <c r="D24" s="108" t="s">
        <v>272</v>
      </c>
      <c r="E24" s="108" t="s">
        <v>279</v>
      </c>
      <c r="F24" s="108" t="s">
        <v>280</v>
      </c>
      <c r="G24" s="108" t="s">
        <v>275</v>
      </c>
      <c r="J24" s="129"/>
      <c r="K24" s="129" t="s">
        <v>271</v>
      </c>
      <c r="L24" s="129" t="s">
        <v>272</v>
      </c>
      <c r="M24" s="129" t="s">
        <v>273</v>
      </c>
      <c r="N24" s="129" t="s">
        <v>274</v>
      </c>
      <c r="O24" s="129" t="s">
        <v>275</v>
      </c>
      <c r="P24" s="129"/>
    </row>
    <row r="25" spans="2:16" x14ac:dyDescent="0.35">
      <c r="B25" s="109" t="s">
        <v>278</v>
      </c>
      <c r="C25" s="110">
        <f>CORREL($C$10:$C$21,C$10:C$21)</f>
        <v>1.0000000000000002</v>
      </c>
      <c r="D25" s="110">
        <f>CORREL($C$10:$C$21,D$10:D$21)</f>
        <v>0.9423308098065365</v>
      </c>
      <c r="E25" s="110">
        <f>CORREL($C$10:$C$21,E$10:E$21)</f>
        <v>-0.89634780130897629</v>
      </c>
      <c r="F25" s="110">
        <f>CORREL($C$10:$C$21,F$10:F$21)</f>
        <v>0.99725835704829158</v>
      </c>
      <c r="G25" s="110">
        <f>CORREL($C$10:$C$21,G$10:G$21)</f>
        <v>0.85753991033906707</v>
      </c>
      <c r="J25" s="1" t="s">
        <v>271</v>
      </c>
      <c r="K25" s="1">
        <v>1</v>
      </c>
      <c r="M25" s="1" cm="1">
        <f t="array" ref="M25:O25">TRANSPOSE(K27:K29)</f>
        <v>-0.89634780130897629</v>
      </c>
      <c r="N25" s="1">
        <v>0.99725835704829158</v>
      </c>
      <c r="O25" s="1">
        <v>0.85753991033906707</v>
      </c>
    </row>
    <row r="26" spans="2:16" x14ac:dyDescent="0.35">
      <c r="B26" s="109" t="s">
        <v>272</v>
      </c>
      <c r="C26" s="110">
        <f>CORREL($D$10:$D$21,C$10:C$21)</f>
        <v>0.9423308098065365</v>
      </c>
      <c r="D26" s="110">
        <f>CORREL($D$10:$D$21,D$10:D$21)</f>
        <v>1.0000000000000002</v>
      </c>
      <c r="E26" s="110">
        <f>CORREL($D$10:$D$21,E$10:E$21)</f>
        <v>-0.94625394104010152</v>
      </c>
      <c r="F26" s="110">
        <f>CORREL($D$10:$D$21,F$10:F$21)</f>
        <v>0.95054054918499364</v>
      </c>
      <c r="G26" s="110">
        <f>CORREL($D$10:$D$21,G$10:G$21)</f>
        <v>0.80860754006264002</v>
      </c>
      <c r="J26" s="1" t="s">
        <v>272</v>
      </c>
      <c r="K26" s="1">
        <v>0.9423308098065365</v>
      </c>
      <c r="L26" s="1">
        <v>1</v>
      </c>
      <c r="M26" s="1" cm="1">
        <f t="array" ref="M26:O26">TRANSPOSE(L27:L29)</f>
        <v>-0.94625394104010152</v>
      </c>
      <c r="N26" s="1">
        <v>0.95054054918499364</v>
      </c>
      <c r="O26" s="1">
        <v>0.80860754006264002</v>
      </c>
    </row>
    <row r="27" spans="2:16" x14ac:dyDescent="0.35">
      <c r="B27" s="109" t="s">
        <v>279</v>
      </c>
      <c r="C27" s="110">
        <f>CORREL($E$10:$E$21,C$10:C$21)</f>
        <v>-0.89634780130897629</v>
      </c>
      <c r="D27" s="110">
        <f>CORREL($E$10:$E$21,D$10:D$21)</f>
        <v>-0.94625394104010152</v>
      </c>
      <c r="E27" s="110">
        <f>CORREL($E$10:$E$21,E$10:E$21)</f>
        <v>1.0000000000000002</v>
      </c>
      <c r="F27" s="110">
        <f>CORREL($E$10:$E$21,F$10:F$21)</f>
        <v>-0.90677558793420376</v>
      </c>
      <c r="G27" s="110">
        <f>CORREL($E$10:$E$21,G$10:G$21)</f>
        <v>-0.82531761029161854</v>
      </c>
      <c r="J27" s="1" t="s">
        <v>273</v>
      </c>
      <c r="K27" s="1">
        <v>-0.89634780130897629</v>
      </c>
      <c r="L27" s="1">
        <v>-0.94625394104010152</v>
      </c>
      <c r="M27" s="1">
        <v>1</v>
      </c>
      <c r="N27" s="1" cm="1">
        <f t="array" ref="N27:O27">TRANSPOSE(M28:M29)</f>
        <v>-0.90677558793420376</v>
      </c>
      <c r="O27" s="1">
        <v>-0.82531761029161854</v>
      </c>
    </row>
    <row r="28" spans="2:16" x14ac:dyDescent="0.35">
      <c r="B28" s="109" t="s">
        <v>280</v>
      </c>
      <c r="C28" s="110">
        <f>CORREL($F$10:$F$21,C$10:C$21)</f>
        <v>0.99725835704829158</v>
      </c>
      <c r="D28" s="110">
        <f>CORREL($F$10:$F$21,D$10:D$21)</f>
        <v>0.95054054918499364</v>
      </c>
      <c r="E28" s="110">
        <f>CORREL($F$10:$F$21,E$10:E$21)</f>
        <v>-0.90677558793420376</v>
      </c>
      <c r="F28" s="110">
        <f>CORREL($F$10:$F$21,F$10:F$21)</f>
        <v>1</v>
      </c>
      <c r="G28" s="110">
        <f>CORREL($F$10:$F$21,G$10:G$21)</f>
        <v>0.86557409576422795</v>
      </c>
      <c r="J28" s="1" t="s">
        <v>274</v>
      </c>
      <c r="K28" s="1">
        <v>0.99725835704829158</v>
      </c>
      <c r="L28" s="1">
        <v>0.95054054918499364</v>
      </c>
      <c r="M28" s="1">
        <v>-0.90677558793420376</v>
      </c>
      <c r="N28" s="1">
        <v>1</v>
      </c>
      <c r="O28" s="1">
        <f>N29</f>
        <v>0.86557409576422795</v>
      </c>
    </row>
    <row r="29" spans="2:16" ht="30" thickBot="1" x14ac:dyDescent="0.4">
      <c r="B29" s="109" t="s">
        <v>275</v>
      </c>
      <c r="C29" s="110">
        <f>CORREL($G$10:$G$21,C$10:C$21)</f>
        <v>0.85753991033906707</v>
      </c>
      <c r="D29" s="110">
        <f>CORREL($G$10:$G$21,D$10:D$21)</f>
        <v>0.80860754006264002</v>
      </c>
      <c r="E29" s="110">
        <f>CORREL($G$10:$G$21,E$10:E$21)</f>
        <v>-0.82531761029161854</v>
      </c>
      <c r="F29" s="110">
        <f>CORREL($G$10:$G$21,F$10:F$21)</f>
        <v>0.86557409576422795</v>
      </c>
      <c r="G29" s="110">
        <f>CORREL($G$10:$G$21,G$10:G$21)</f>
        <v>0.99999999999999989</v>
      </c>
      <c r="J29" s="130" t="s">
        <v>275</v>
      </c>
      <c r="K29" s="130">
        <v>0.85753991033906707</v>
      </c>
      <c r="L29" s="130">
        <v>0.80860754006264002</v>
      </c>
      <c r="M29" s="130">
        <v>-0.82531761029161854</v>
      </c>
      <c r="N29" s="130">
        <v>0.86557409576422795</v>
      </c>
      <c r="O29" s="130">
        <v>1</v>
      </c>
    </row>
    <row r="30" spans="2:16" ht="30" thickBot="1" x14ac:dyDescent="0.4">
      <c r="J30" s="130"/>
      <c r="K30" s="130"/>
      <c r="L30" s="130"/>
      <c r="M30" s="130"/>
      <c r="N30" s="130"/>
      <c r="O30" s="130"/>
      <c r="P30" s="130"/>
    </row>
    <row r="31" spans="2:16" ht="35" customHeight="1" x14ac:dyDescent="0.35">
      <c r="B31" s="49" t="s">
        <v>281</v>
      </c>
    </row>
    <row r="33" spans="2:8" x14ac:dyDescent="0.35">
      <c r="B33" s="147" t="s">
        <v>282</v>
      </c>
      <c r="C33" s="147"/>
      <c r="D33" s="147"/>
      <c r="E33" s="147"/>
      <c r="F33" s="147"/>
      <c r="G33" s="147"/>
      <c r="H33" s="147"/>
    </row>
    <row r="34" spans="2:8" x14ac:dyDescent="0.35">
      <c r="B34" s="132" t="s">
        <v>283</v>
      </c>
    </row>
    <row r="35" spans="2:8" x14ac:dyDescent="0.35">
      <c r="B35" s="109" t="s">
        <v>284</v>
      </c>
      <c r="C35" s="108" t="s">
        <v>285</v>
      </c>
      <c r="D35" s="108" t="s">
        <v>286</v>
      </c>
      <c r="E35" s="108" t="s">
        <v>287</v>
      </c>
      <c r="F35" s="108" t="s">
        <v>288</v>
      </c>
      <c r="G35" s="108" t="s">
        <v>289</v>
      </c>
      <c r="H35" s="108" t="s">
        <v>290</v>
      </c>
    </row>
    <row r="36" spans="2:8" x14ac:dyDescent="0.35">
      <c r="B36" s="70" t="s">
        <v>291</v>
      </c>
      <c r="C36" s="64">
        <f>INDEX(LINEST(H10:H21,C10:G21),1,5)</f>
        <v>6.7598421053657307E-2</v>
      </c>
      <c r="D36" s="64">
        <f>INDEX(LINEST(H10:H21,C10:G21),1,4)</f>
        <v>18.03916379375864</v>
      </c>
      <c r="E36" s="64">
        <f>INDEX(LINEST(H10:H21,C10:G21),1,3)</f>
        <v>0.20868030721439387</v>
      </c>
      <c r="F36" s="64">
        <f>INDEX(LINEST(H10:H21,C10:G21),1,2)</f>
        <v>3.1019503943468172E-2</v>
      </c>
      <c r="G36" s="64">
        <f>INDEX(LINEST(H10:H21,C10:G21),1,1)</f>
        <v>6.320125427038529</v>
      </c>
      <c r="H36" s="111">
        <f>INDEX(LINEST(H10:H21,C10:G21),1,6)</f>
        <v>-82.903065907660178</v>
      </c>
    </row>
    <row r="37" spans="2:8" x14ac:dyDescent="0.35">
      <c r="B37" s="73" t="s">
        <v>292</v>
      </c>
      <c r="C37" s="112">
        <f>INDEX(LINEST(H10:H21,C10:G21,TRUE,TRUE),2,5)</f>
        <v>3.8616678223708498E-2</v>
      </c>
      <c r="D37" s="112">
        <f>INDEX(LINEST(H10:H21,C10:G21,TRUE,TRUE),2,4)</f>
        <v>7.8270406662483065</v>
      </c>
      <c r="E37" s="112">
        <f>INDEX(LINEST(H10:H21,C10:G21,TRUE,TRUE),2,3)</f>
        <v>0.50112673809668018</v>
      </c>
      <c r="F37" s="112">
        <f>INDEX(LINEST(H10:H21,C10:G21,TRUE,TRUE),2,2)</f>
        <v>1.3419530259400158E-2</v>
      </c>
      <c r="G37" s="112">
        <f>INDEX(LINEST(H10:H21,C10:G21,TRUE,TRUE),2,1)</f>
        <v>4.680658961416027</v>
      </c>
      <c r="H37" s="113">
        <f>INDEX(LINEST(H10:H21,C10:G21,TRUE,TRUE),2,6)</f>
        <v>27.076109620679357</v>
      </c>
    </row>
    <row r="38" spans="2:8" x14ac:dyDescent="0.35">
      <c r="B38" s="68" t="s">
        <v>293</v>
      </c>
      <c r="C38" s="69">
        <f>INDEX(LINEST(H10:H21,C10:G21,TRUE,TRUE),3,1)</f>
        <v>0.99885363251985171</v>
      </c>
      <c r="D38" s="2" t="s">
        <v>294</v>
      </c>
    </row>
    <row r="39" spans="2:8" ht="99" customHeight="1" x14ac:dyDescent="0.35">
      <c r="B39" s="153" t="s">
        <v>295</v>
      </c>
      <c r="C39" s="153"/>
      <c r="D39" s="153"/>
      <c r="E39" s="153"/>
      <c r="F39" s="153"/>
      <c r="G39" s="153"/>
      <c r="H39" s="153"/>
    </row>
    <row r="41" spans="2:8" ht="66" customHeight="1" x14ac:dyDescent="0.35">
      <c r="B41" s="154" t="s">
        <v>346</v>
      </c>
      <c r="C41" s="154"/>
      <c r="D41" s="154"/>
      <c r="E41" s="154"/>
      <c r="F41" s="154"/>
      <c r="G41" s="154"/>
      <c r="H41" s="154"/>
    </row>
    <row r="42" spans="2:8" x14ac:dyDescent="0.35">
      <c r="B42" s="2" t="s">
        <v>347</v>
      </c>
    </row>
    <row r="43" spans="2:8" x14ac:dyDescent="0.35">
      <c r="B43" s="108" t="s">
        <v>348</v>
      </c>
      <c r="C43" s="108" t="s">
        <v>278</v>
      </c>
      <c r="D43" s="108" t="s">
        <v>272</v>
      </c>
      <c r="E43" s="108" t="s">
        <v>279</v>
      </c>
      <c r="F43" s="108" t="s">
        <v>280</v>
      </c>
      <c r="G43" s="108" t="s">
        <v>275</v>
      </c>
    </row>
    <row r="44" spans="2:8" x14ac:dyDescent="0.35">
      <c r="B44" s="70" t="s">
        <v>163</v>
      </c>
      <c r="C44" s="111">
        <f>AVERAGE(C10:C21)</f>
        <v>2050</v>
      </c>
      <c r="D44" s="111">
        <f>AVERAGE(D10:D21)</f>
        <v>3.3333333333333335</v>
      </c>
      <c r="E44" s="111">
        <f>AVERAGE(E10:E21)</f>
        <v>16.5</v>
      </c>
      <c r="F44" s="111">
        <f>AVERAGE(F10:F21)</f>
        <v>6783.333333333333</v>
      </c>
      <c r="G44" s="111">
        <f>AVERAGE(G10:G21)</f>
        <v>1.8333333333333333</v>
      </c>
    </row>
    <row r="45" spans="2:8" x14ac:dyDescent="0.35">
      <c r="B45" s="70" t="s">
        <v>164</v>
      </c>
      <c r="C45" s="111">
        <f>_xlfn.STDEV.S(C10:C21)</f>
        <v>576.03661499785051</v>
      </c>
      <c r="D45" s="111">
        <f>_xlfn.STDEV.S(D10:D21)</f>
        <v>0.88762536459859409</v>
      </c>
      <c r="E45" s="111">
        <f>_xlfn.STDEV.S(E10:E21)</f>
        <v>10.282376803408477</v>
      </c>
      <c r="F45" s="111">
        <f>_xlfn.STDEV.S(F10:F21)</f>
        <v>1838.8896518049005</v>
      </c>
      <c r="G45" s="111">
        <f>_xlfn.STDEV.S(G10:G21)</f>
        <v>0.7177405625652733</v>
      </c>
    </row>
    <row r="47" spans="2:8" x14ac:dyDescent="0.35">
      <c r="B47" s="108" t="s">
        <v>270</v>
      </c>
      <c r="C47" s="108" t="s">
        <v>341</v>
      </c>
      <c r="D47" s="108" t="s">
        <v>342</v>
      </c>
      <c r="E47" s="108" t="s">
        <v>343</v>
      </c>
      <c r="F47" s="108" t="s">
        <v>344</v>
      </c>
      <c r="G47" s="108" t="s">
        <v>345</v>
      </c>
    </row>
    <row r="48" spans="2:8" x14ac:dyDescent="0.35">
      <c r="B48" s="1">
        <f t="shared" ref="B48:B59" si="0">B10</f>
        <v>1</v>
      </c>
      <c r="C48" s="63">
        <f t="shared" ref="C48:G59" si="1">(C10-C$44)/C$45</f>
        <v>-0.95480041664027271</v>
      </c>
      <c r="D48" s="63">
        <f t="shared" si="1"/>
        <v>-0.37553380809940573</v>
      </c>
      <c r="E48" s="63">
        <f t="shared" si="1"/>
        <v>0.34038822608016023</v>
      </c>
      <c r="F48" s="63">
        <f t="shared" si="1"/>
        <v>-0.96978811729293379</v>
      </c>
      <c r="G48" s="63">
        <f t="shared" si="1"/>
        <v>-1.1610509100320601</v>
      </c>
    </row>
    <row r="49" spans="2:9" x14ac:dyDescent="0.35">
      <c r="B49" s="1">
        <f t="shared" si="0"/>
        <v>2</v>
      </c>
      <c r="C49" s="63">
        <f t="shared" si="1"/>
        <v>0.26040011362916526</v>
      </c>
      <c r="D49" s="63">
        <f t="shared" si="1"/>
        <v>0.75106761619881102</v>
      </c>
      <c r="E49" s="63">
        <f t="shared" si="1"/>
        <v>-1.1184184571205265</v>
      </c>
      <c r="F49" s="63">
        <f t="shared" si="1"/>
        <v>0.38972793498688019</v>
      </c>
      <c r="G49" s="63">
        <f t="shared" si="1"/>
        <v>0.23221018200641214</v>
      </c>
    </row>
    <row r="50" spans="2:9" x14ac:dyDescent="0.35">
      <c r="B50" s="1">
        <f t="shared" si="0"/>
        <v>3</v>
      </c>
      <c r="C50" s="63">
        <f t="shared" si="1"/>
        <v>-0.43400018938194213</v>
      </c>
      <c r="D50" s="63">
        <f t="shared" si="1"/>
        <v>-0.37553380809940573</v>
      </c>
      <c r="E50" s="63">
        <f t="shared" si="1"/>
        <v>-0.14588066832006868</v>
      </c>
      <c r="F50" s="63">
        <f t="shared" si="1"/>
        <v>-0.42598169638100819</v>
      </c>
      <c r="G50" s="63">
        <f t="shared" si="1"/>
        <v>0.23221018200641214</v>
      </c>
    </row>
    <row r="51" spans="2:9" x14ac:dyDescent="0.35">
      <c r="B51" s="1">
        <f t="shared" si="0"/>
        <v>4</v>
      </c>
      <c r="C51" s="63">
        <f t="shared" si="1"/>
        <v>0.78120034088749579</v>
      </c>
      <c r="D51" s="63">
        <f t="shared" si="1"/>
        <v>0.75106761619881102</v>
      </c>
      <c r="E51" s="63">
        <f t="shared" si="1"/>
        <v>-0.8266571204803892</v>
      </c>
      <c r="F51" s="63">
        <f t="shared" si="1"/>
        <v>0.77039242962522803</v>
      </c>
      <c r="G51" s="63">
        <f t="shared" si="1"/>
        <v>0.23221018200641214</v>
      </c>
    </row>
    <row r="52" spans="2:9" x14ac:dyDescent="0.35">
      <c r="B52" s="1">
        <f t="shared" si="0"/>
        <v>5</v>
      </c>
      <c r="C52" s="63">
        <f t="shared" si="1"/>
        <v>-1.4756006438986031</v>
      </c>
      <c r="D52" s="63">
        <f t="shared" si="1"/>
        <v>-1.5021352323976225</v>
      </c>
      <c r="E52" s="63">
        <f t="shared" si="1"/>
        <v>1.799194909280847</v>
      </c>
      <c r="F52" s="63">
        <f t="shared" si="1"/>
        <v>-1.4048332540224742</v>
      </c>
      <c r="G52" s="63">
        <f t="shared" si="1"/>
        <v>-1.1610509100320601</v>
      </c>
    </row>
    <row r="53" spans="2:9" x14ac:dyDescent="0.35">
      <c r="B53" s="1">
        <f t="shared" si="0"/>
        <v>6</v>
      </c>
      <c r="C53" s="63">
        <f t="shared" si="1"/>
        <v>1.64920071965138</v>
      </c>
      <c r="D53" s="63">
        <f t="shared" si="1"/>
        <v>1.8776690404970278</v>
      </c>
      <c r="E53" s="63">
        <f t="shared" si="1"/>
        <v>-1.3129260148806181</v>
      </c>
      <c r="F53" s="63">
        <f t="shared" si="1"/>
        <v>1.7492439872666941</v>
      </c>
      <c r="G53" s="63">
        <f t="shared" si="1"/>
        <v>1.6254712740448842</v>
      </c>
    </row>
    <row r="54" spans="2:9" x14ac:dyDescent="0.35">
      <c r="B54" s="1">
        <f t="shared" si="0"/>
        <v>7</v>
      </c>
      <c r="C54" s="63">
        <f t="shared" si="1"/>
        <v>-0.60760026513471899</v>
      </c>
      <c r="D54" s="63">
        <f t="shared" si="1"/>
        <v>-0.37553380809940573</v>
      </c>
      <c r="E54" s="63">
        <f t="shared" si="1"/>
        <v>0.8266571204803892</v>
      </c>
      <c r="F54" s="63">
        <f t="shared" si="1"/>
        <v>-0.69788490683697102</v>
      </c>
      <c r="G54" s="63">
        <f t="shared" si="1"/>
        <v>-1.1610509100320601</v>
      </c>
    </row>
    <row r="55" spans="2:9" x14ac:dyDescent="0.35">
      <c r="B55" s="1">
        <f t="shared" si="0"/>
        <v>8</v>
      </c>
      <c r="C55" s="63">
        <f t="shared" si="1"/>
        <v>1.3020005681458264</v>
      </c>
      <c r="D55" s="63">
        <f t="shared" si="1"/>
        <v>0.75106761619881102</v>
      </c>
      <c r="E55" s="63">
        <f t="shared" si="1"/>
        <v>-0.63214956272029754</v>
      </c>
      <c r="F55" s="63">
        <f t="shared" si="1"/>
        <v>1.2054375663547685</v>
      </c>
      <c r="G55" s="63">
        <f t="shared" si="1"/>
        <v>0.23221018200641214</v>
      </c>
    </row>
    <row r="56" spans="2:9" x14ac:dyDescent="0.35">
      <c r="B56" s="1">
        <f t="shared" si="0"/>
        <v>9</v>
      </c>
      <c r="C56" s="63">
        <f t="shared" si="1"/>
        <v>-8.6800037876388431E-2</v>
      </c>
      <c r="D56" s="63">
        <f t="shared" si="1"/>
        <v>-0.37553380809940573</v>
      </c>
      <c r="E56" s="63">
        <f t="shared" si="1"/>
        <v>0.14588066832006868</v>
      </c>
      <c r="F56" s="63">
        <f t="shared" si="1"/>
        <v>-0.15407848592504542</v>
      </c>
      <c r="G56" s="63">
        <f t="shared" si="1"/>
        <v>0.23221018200641214</v>
      </c>
    </row>
    <row r="57" spans="2:9" x14ac:dyDescent="0.35">
      <c r="B57" s="1">
        <f t="shared" si="0"/>
        <v>10</v>
      </c>
      <c r="C57" s="63">
        <f t="shared" si="1"/>
        <v>-1.1284004923930495</v>
      </c>
      <c r="D57" s="63">
        <f t="shared" si="1"/>
        <v>-1.5021352323976225</v>
      </c>
      <c r="E57" s="63">
        <f t="shared" si="1"/>
        <v>1.3129260148806181</v>
      </c>
      <c r="F57" s="63">
        <f t="shared" si="1"/>
        <v>-1.078549401475319</v>
      </c>
      <c r="G57" s="63">
        <f t="shared" si="1"/>
        <v>-1.1610509100320601</v>
      </c>
    </row>
    <row r="58" spans="2:9" x14ac:dyDescent="0.35">
      <c r="B58" s="1">
        <f t="shared" si="0"/>
        <v>11</v>
      </c>
      <c r="C58" s="63">
        <f t="shared" si="1"/>
        <v>0.95480041664027271</v>
      </c>
      <c r="D58" s="63">
        <f t="shared" si="1"/>
        <v>0.75106761619881102</v>
      </c>
      <c r="E58" s="63">
        <f t="shared" si="1"/>
        <v>-0.92391089936043491</v>
      </c>
      <c r="F58" s="63">
        <f t="shared" si="1"/>
        <v>0.93353435589880573</v>
      </c>
      <c r="G58" s="63">
        <f t="shared" si="1"/>
        <v>1.6254712740448842</v>
      </c>
    </row>
    <row r="59" spans="2:9" x14ac:dyDescent="0.35">
      <c r="B59" s="1">
        <f t="shared" si="0"/>
        <v>12</v>
      </c>
      <c r="C59" s="63">
        <f t="shared" si="1"/>
        <v>-0.26040011362916526</v>
      </c>
      <c r="D59" s="63">
        <f t="shared" si="1"/>
        <v>-0.37553380809940573</v>
      </c>
      <c r="E59" s="63">
        <f t="shared" si="1"/>
        <v>0.53489578384025183</v>
      </c>
      <c r="F59" s="63">
        <f t="shared" si="1"/>
        <v>-0.31722041219862307</v>
      </c>
      <c r="G59" s="63">
        <f t="shared" si="1"/>
        <v>0.23221018200641214</v>
      </c>
    </row>
    <row r="60" spans="2:9" x14ac:dyDescent="0.35">
      <c r="B60" s="126"/>
      <c r="C60" s="135"/>
      <c r="D60" s="135"/>
      <c r="E60" s="135"/>
      <c r="F60" s="135"/>
      <c r="G60" s="135"/>
      <c r="H60" s="126"/>
    </row>
    <row r="61" spans="2:9" ht="60" x14ac:dyDescent="0.35">
      <c r="B61" s="136" t="s">
        <v>349</v>
      </c>
      <c r="C61" s="137">
        <f>ROUND(AVERAGE(C48:C59),4)</f>
        <v>0</v>
      </c>
      <c r="D61" s="137">
        <f>ROUND(AVERAGE(D48:D59),4)</f>
        <v>0</v>
      </c>
      <c r="E61" s="137">
        <f>ROUND(AVERAGE(E48:E59),4)</f>
        <v>0</v>
      </c>
      <c r="F61" s="137">
        <f>ROUND(AVERAGE(F48:F59),4)</f>
        <v>0</v>
      </c>
      <c r="G61" s="137">
        <f>ROUND(AVERAGE(G48:G59),4)</f>
        <v>0</v>
      </c>
      <c r="H61" s="138" t="s">
        <v>350</v>
      </c>
      <c r="I61" s="131"/>
    </row>
    <row r="62" spans="2:9" ht="60" x14ac:dyDescent="0.35">
      <c r="B62" s="136" t="s">
        <v>351</v>
      </c>
      <c r="C62" s="137">
        <f>ROUND(_xlfn.STDEV.S(C48:C59),4)</f>
        <v>1</v>
      </c>
      <c r="D62" s="137">
        <f>ROUND(_xlfn.STDEV.S(D48:D59),4)</f>
        <v>1</v>
      </c>
      <c r="E62" s="137">
        <f>ROUND(_xlfn.STDEV.S(E48:E59),4)</f>
        <v>1</v>
      </c>
      <c r="F62" s="137">
        <f>ROUND(_xlfn.STDEV.S(F48:F59),4)</f>
        <v>1</v>
      </c>
      <c r="G62" s="137">
        <f>ROUND(_xlfn.STDEV.S(G48:G59),4)</f>
        <v>1</v>
      </c>
      <c r="H62" s="138" t="s">
        <v>352</v>
      </c>
      <c r="I62" s="131"/>
    </row>
    <row r="63" spans="2:9" ht="90" x14ac:dyDescent="0.35">
      <c r="B63" s="139" t="s">
        <v>353</v>
      </c>
      <c r="C63" s="140"/>
      <c r="D63" s="140"/>
      <c r="E63" s="140"/>
      <c r="F63" s="140"/>
      <c r="G63" s="140"/>
      <c r="H63" s="141"/>
      <c r="I63" s="131"/>
    </row>
    <row r="64" spans="2:9" x14ac:dyDescent="0.35">
      <c r="B64" s="131"/>
      <c r="C64" s="131"/>
      <c r="D64" s="131"/>
      <c r="E64" s="131"/>
      <c r="F64" s="131"/>
      <c r="G64" s="131"/>
      <c r="H64" s="131"/>
      <c r="I64" s="131"/>
    </row>
    <row r="65" spans="2:11" x14ac:dyDescent="0.35">
      <c r="B65" s="109"/>
      <c r="C65" s="108" t="s">
        <v>181</v>
      </c>
      <c r="D65" s="109" t="s">
        <v>182</v>
      </c>
      <c r="E65" s="109" t="s">
        <v>296</v>
      </c>
      <c r="F65" s="109" t="s">
        <v>297</v>
      </c>
      <c r="G65" s="109" t="s">
        <v>298</v>
      </c>
      <c r="J65" s="68" t="s">
        <v>194</v>
      </c>
      <c r="K65" s="68" t="s">
        <v>299</v>
      </c>
    </row>
    <row r="66" spans="2:11" ht="30" x14ac:dyDescent="0.35">
      <c r="B66" s="133" t="s">
        <v>231</v>
      </c>
      <c r="C66" s="169">
        <f>'Eigen Calc'!P7</f>
        <v>4.6024842508114592</v>
      </c>
      <c r="D66" s="169">
        <f>'Eigen Calc'!P8</f>
        <v>0.22762534202378917</v>
      </c>
      <c r="E66" s="169">
        <f>'Eigen Calc'!P9</f>
        <v>0.13217854618029193</v>
      </c>
      <c r="F66" s="169">
        <f>'Eigen Calc'!P10</f>
        <v>3.5463923512633007E-2</v>
      </c>
      <c r="G66" s="169">
        <f>'Eigen Calc'!P11</f>
        <v>2.247937471826944E-3</v>
      </c>
      <c r="J66" s="1" t="s">
        <v>181</v>
      </c>
      <c r="K66" s="76">
        <f>C67</f>
        <v>0.92049685016229188</v>
      </c>
    </row>
    <row r="67" spans="2:11" x14ac:dyDescent="0.35">
      <c r="B67" s="109" t="s">
        <v>299</v>
      </c>
      <c r="C67" s="114">
        <f>C66/SUM($C$66:$G$66)</f>
        <v>0.92049685016229188</v>
      </c>
      <c r="D67" s="114">
        <f>D66/SUM($C$66:$G$66)</f>
        <v>4.5525068404757833E-2</v>
      </c>
      <c r="E67" s="114">
        <f>E66/SUM($C$66:$G$66)</f>
        <v>2.6435709236058386E-2</v>
      </c>
      <c r="F67" s="114">
        <f>F66/SUM($C$66:$G$66)</f>
        <v>7.0927847025266015E-3</v>
      </c>
      <c r="G67" s="114">
        <f>G66/SUM($C$66:$G$66)</f>
        <v>4.4958749436538879E-4</v>
      </c>
      <c r="J67" s="1" t="s">
        <v>182</v>
      </c>
      <c r="K67" s="76">
        <f>D67</f>
        <v>4.5525068404757833E-2</v>
      </c>
    </row>
    <row r="68" spans="2:11" x14ac:dyDescent="0.35">
      <c r="B68" s="109" t="s">
        <v>300</v>
      </c>
      <c r="C68" s="114">
        <f>C67</f>
        <v>0.92049685016229188</v>
      </c>
      <c r="D68" s="114">
        <f>C68+D67</f>
        <v>0.96602191856704966</v>
      </c>
      <c r="E68" s="114">
        <f>D68+E67</f>
        <v>0.99245762780310809</v>
      </c>
      <c r="F68" s="114">
        <f>E68+F67</f>
        <v>0.9995504125056347</v>
      </c>
      <c r="G68" s="114">
        <f>F68+G67</f>
        <v>1</v>
      </c>
      <c r="J68" s="1" t="s">
        <v>296</v>
      </c>
      <c r="K68" s="76">
        <f>E67</f>
        <v>2.6435709236058386E-2</v>
      </c>
    </row>
    <row r="69" spans="2:11" x14ac:dyDescent="0.35">
      <c r="J69" s="1" t="s">
        <v>297</v>
      </c>
      <c r="K69" s="76">
        <f>F67</f>
        <v>7.0927847025266015E-3</v>
      </c>
    </row>
    <row r="70" spans="2:11" ht="32" customHeight="1" x14ac:dyDescent="0.35">
      <c r="B70" s="115" t="s">
        <v>301</v>
      </c>
      <c r="C70"/>
      <c r="J70" s="1" t="s">
        <v>298</v>
      </c>
      <c r="K70" s="76">
        <f>G67</f>
        <v>4.4958749436538879E-4</v>
      </c>
    </row>
    <row r="72" spans="2:11" x14ac:dyDescent="0.35">
      <c r="B72" s="147" t="s">
        <v>302</v>
      </c>
      <c r="C72" s="147"/>
      <c r="D72" s="147"/>
      <c r="E72" s="147"/>
      <c r="F72" s="147"/>
      <c r="G72" s="147"/>
      <c r="H72" s="147"/>
    </row>
    <row r="74" spans="2:11" x14ac:dyDescent="0.35">
      <c r="B74" s="109" t="s">
        <v>303</v>
      </c>
      <c r="C74" s="109" t="s">
        <v>181</v>
      </c>
      <c r="D74" s="109" t="s">
        <v>182</v>
      </c>
      <c r="E74" s="109" t="s">
        <v>296</v>
      </c>
      <c r="F74" s="109" t="s">
        <v>297</v>
      </c>
      <c r="G74" s="109" t="s">
        <v>298</v>
      </c>
    </row>
    <row r="75" spans="2:11" x14ac:dyDescent="0.35">
      <c r="B75" s="109" t="s">
        <v>278</v>
      </c>
      <c r="C75" s="116">
        <v>0.4565962841232783</v>
      </c>
      <c r="D75" s="116">
        <v>-8.3320603706092913E-2</v>
      </c>
      <c r="E75" s="116">
        <v>0.5167561634657436</v>
      </c>
      <c r="F75" s="116">
        <v>-0.27079059114873422</v>
      </c>
      <c r="G75" s="116">
        <v>0.66649308592689249</v>
      </c>
    </row>
    <row r="76" spans="2:11" x14ac:dyDescent="0.35">
      <c r="B76" s="109" t="s">
        <v>272</v>
      </c>
      <c r="C76" s="116">
        <v>0.45221225066598775</v>
      </c>
      <c r="D76" s="116">
        <v>-0.39115886392298849</v>
      </c>
      <c r="E76" s="116">
        <v>-0.11536130855030868</v>
      </c>
      <c r="F76" s="116">
        <v>0.79148795073699496</v>
      </c>
      <c r="G76" s="116">
        <v>5.232031966446235E-2</v>
      </c>
    </row>
    <row r="77" spans="2:11" x14ac:dyDescent="0.35">
      <c r="B77" s="109" t="s">
        <v>279</v>
      </c>
      <c r="C77" s="116">
        <v>-0.44473061103278194</v>
      </c>
      <c r="D77" s="116">
        <v>0.26535530789881179</v>
      </c>
      <c r="E77" s="116">
        <v>0.70243573877860999</v>
      </c>
      <c r="F77" s="116">
        <v>0.48817424840365486</v>
      </c>
      <c r="G77" s="116">
        <v>-8.4368395984731007E-3</v>
      </c>
    </row>
    <row r="78" spans="2:11" x14ac:dyDescent="0.35">
      <c r="B78" s="109" t="s">
        <v>280</v>
      </c>
      <c r="C78" s="116">
        <v>0.45914941128205078</v>
      </c>
      <c r="D78" s="116">
        <v>-7.8689379627192274E-2</v>
      </c>
      <c r="E78" s="116">
        <v>0.44192778144908662</v>
      </c>
      <c r="F78" s="116">
        <v>-0.18767555377293188</v>
      </c>
      <c r="G78" s="116">
        <v>-0.74328159008060024</v>
      </c>
    </row>
    <row r="79" spans="2:11" x14ac:dyDescent="0.35">
      <c r="B79" s="109" t="s">
        <v>275</v>
      </c>
      <c r="C79" s="116">
        <v>0.42239840838025294</v>
      </c>
      <c r="D79" s="116">
        <v>0.87375452060423897</v>
      </c>
      <c r="E79" s="116">
        <v>-0.17589401604307955</v>
      </c>
      <c r="F79" s="116">
        <v>0.16334953105234654</v>
      </c>
      <c r="G79" s="116">
        <v>2.2601950064118071E-2</v>
      </c>
    </row>
    <row r="81" spans="2:11" ht="32" customHeight="1" x14ac:dyDescent="0.35">
      <c r="B81" s="117" t="s">
        <v>304</v>
      </c>
    </row>
    <row r="83" spans="2:11" x14ac:dyDescent="0.35">
      <c r="B83" s="147" t="s">
        <v>305</v>
      </c>
      <c r="C83" s="147"/>
      <c r="D83" s="147"/>
      <c r="E83" s="147"/>
      <c r="F83" s="147"/>
      <c r="G83" s="147"/>
      <c r="H83" s="147"/>
    </row>
    <row r="85" spans="2:11" x14ac:dyDescent="0.35">
      <c r="B85" s="109" t="s">
        <v>270</v>
      </c>
      <c r="C85" s="109" t="s">
        <v>181</v>
      </c>
      <c r="D85" s="109" t="s">
        <v>182</v>
      </c>
      <c r="E85" s="109" t="s">
        <v>296</v>
      </c>
      <c r="F85" s="109" t="s">
        <v>297</v>
      </c>
      <c r="G85" s="109" t="s">
        <v>298</v>
      </c>
      <c r="H85" s="109" t="s">
        <v>276</v>
      </c>
      <c r="J85" s="109" t="s">
        <v>337</v>
      </c>
      <c r="K85" s="109" t="s">
        <v>338</v>
      </c>
    </row>
    <row r="86" spans="2:11" x14ac:dyDescent="0.35">
      <c r="B86" s="109">
        <v>1</v>
      </c>
      <c r="C86" s="63">
        <v>-1.6928640742214671</v>
      </c>
      <c r="D86" s="63">
        <v>-0.6213897085618092</v>
      </c>
      <c r="E86" s="63">
        <v>-0.43533047736807634</v>
      </c>
      <c r="F86" s="63">
        <v>0.11983765175187744</v>
      </c>
      <c r="G86" s="63">
        <v>3.5695913292240922E-2</v>
      </c>
      <c r="H86" s="118">
        <v>245</v>
      </c>
      <c r="J86" s="119">
        <f t="shared" ref="J86:J97" si="2">H86</f>
        <v>245</v>
      </c>
      <c r="K86" s="119">
        <f t="shared" ref="K86:K97" si="3">$F$102 + $C$102*C86 + $D$102*D86 + $E$102*E86</f>
        <v>239.5708553208344</v>
      </c>
    </row>
    <row r="87" spans="2:11" x14ac:dyDescent="0.35">
      <c r="B87" s="109">
        <v>2</v>
      </c>
      <c r="C87" s="63">
        <v>1.2329631884161041</v>
      </c>
      <c r="D87" s="63">
        <v>-0.44003447737239099</v>
      </c>
      <c r="E87" s="63">
        <v>-0.60631065432221121</v>
      </c>
      <c r="F87" s="63">
        <v>-5.7247003683427507E-2</v>
      </c>
      <c r="G87" s="63">
        <v>-6.2142306073527283E-2</v>
      </c>
      <c r="H87" s="118">
        <v>380</v>
      </c>
      <c r="J87" s="119">
        <f t="shared" si="2"/>
        <v>380</v>
      </c>
      <c r="K87" s="119">
        <f t="shared" si="3"/>
        <v>382.94682909915957</v>
      </c>
    </row>
    <row r="88" spans="2:11" x14ac:dyDescent="0.35">
      <c r="B88" s="109">
        <v>3</v>
      </c>
      <c r="C88" s="63">
        <v>-0.4006102974036122</v>
      </c>
      <c r="D88" s="63">
        <v>0.38075925754933904</v>
      </c>
      <c r="E88" s="63">
        <v>-0.51251952382489496</v>
      </c>
      <c r="F88" s="63">
        <v>-0.13304472687566604</v>
      </c>
      <c r="G88" s="63">
        <v>1.4197352969930179E-2</v>
      </c>
      <c r="H88" s="118">
        <v>295</v>
      </c>
      <c r="J88" s="119">
        <f t="shared" si="2"/>
        <v>295</v>
      </c>
      <c r="K88" s="119">
        <f t="shared" si="3"/>
        <v>294.09636074852222</v>
      </c>
    </row>
    <row r="89" spans="2:11" x14ac:dyDescent="0.35">
      <c r="B89" s="109">
        <v>4</v>
      </c>
      <c r="C89" s="63">
        <v>1.515785318042284</v>
      </c>
      <c r="D89" s="63">
        <v>-0.43596170032990322</v>
      </c>
      <c r="E89" s="63">
        <v>3.5985878689703217E-2</v>
      </c>
      <c r="F89" s="63">
        <v>-0.12728585369850642</v>
      </c>
      <c r="G89" s="63">
        <v>-4.350099169838726E-4</v>
      </c>
      <c r="H89" s="118">
        <v>425</v>
      </c>
      <c r="J89" s="119">
        <f t="shared" si="2"/>
        <v>425</v>
      </c>
      <c r="K89" s="119">
        <f t="shared" si="3"/>
        <v>426.04851808242864</v>
      </c>
    </row>
    <row r="90" spans="2:11" x14ac:dyDescent="0.35">
      <c r="B90" s="109">
        <v>5</v>
      </c>
      <c r="C90" s="63">
        <v>-3.2886491944526184</v>
      </c>
      <c r="D90" s="63">
        <v>0.28401934251077332</v>
      </c>
      <c r="E90" s="63">
        <v>0.25796842792765301</v>
      </c>
      <c r="F90" s="63">
        <v>0.16297319363604237</v>
      </c>
      <c r="G90" s="63">
        <v>-5.9304660984491886E-2</v>
      </c>
      <c r="H90" s="118">
        <v>180</v>
      </c>
      <c r="J90" s="119">
        <f t="shared" si="2"/>
        <v>180</v>
      </c>
      <c r="K90" s="119">
        <f t="shared" si="3"/>
        <v>178.38487083122669</v>
      </c>
    </row>
    <row r="91" spans="2:11" x14ac:dyDescent="0.35">
      <c r="B91" s="109">
        <v>6</v>
      </c>
      <c r="C91" s="63">
        <v>3.6757830779805056</v>
      </c>
      <c r="D91" s="63">
        <v>6.2344774409369919E-2</v>
      </c>
      <c r="E91" s="63">
        <v>0.20050696806303583</v>
      </c>
      <c r="F91" s="63">
        <v>0.33585734906406867</v>
      </c>
      <c r="G91" s="63">
        <v>-5.4943964159516821E-2</v>
      </c>
      <c r="H91" s="118">
        <v>540</v>
      </c>
      <c r="J91" s="119">
        <f t="shared" si="2"/>
        <v>540</v>
      </c>
      <c r="K91" s="119">
        <f t="shared" si="3"/>
        <v>541.29632614642219</v>
      </c>
    </row>
    <row r="92" spans="2:11" x14ac:dyDescent="0.35">
      <c r="B92" s="109">
        <v>7</v>
      </c>
      <c r="C92" s="63">
        <v>-1.6257482387232869</v>
      </c>
      <c r="D92" s="63">
        <v>-0.54268049754633296</v>
      </c>
      <c r="E92" s="63">
        <v>0.20582157352742889</v>
      </c>
      <c r="F92" s="63">
        <v>0.21217348392970564</v>
      </c>
      <c r="G92" s="63">
        <v>6.089919042395231E-2</v>
      </c>
      <c r="H92" s="118">
        <v>265</v>
      </c>
      <c r="J92" s="119">
        <f t="shared" si="2"/>
        <v>265</v>
      </c>
      <c r="K92" s="119">
        <f t="shared" si="3"/>
        <v>270.66168477411696</v>
      </c>
    </row>
    <row r="93" spans="2:11" x14ac:dyDescent="0.35">
      <c r="B93" s="109">
        <v>8</v>
      </c>
      <c r="C93" s="63">
        <v>1.866828019976345</v>
      </c>
      <c r="D93" s="63">
        <v>-0.46197490871633728</v>
      </c>
      <c r="E93" s="63">
        <v>0.63400019819813902</v>
      </c>
      <c r="F93" s="63">
        <v>-0.25500741124175896</v>
      </c>
      <c r="G93" s="63">
        <v>2.1672670649170441E-2</v>
      </c>
      <c r="H93" s="118">
        <v>475</v>
      </c>
      <c r="J93" s="119">
        <f t="shared" si="2"/>
        <v>475</v>
      </c>
      <c r="K93" s="119">
        <f t="shared" si="3"/>
        <v>471.03723123913761</v>
      </c>
    </row>
    <row r="94" spans="2:11" x14ac:dyDescent="0.35">
      <c r="B94" s="109">
        <v>9</v>
      </c>
      <c r="C94" s="63">
        <v>-0.24699099689229184</v>
      </c>
      <c r="D94" s="63">
        <v>0.40785485568674029</v>
      </c>
      <c r="E94" s="63">
        <v>-7.9965329626228362E-3</v>
      </c>
      <c r="F94" s="63">
        <v>-0.13566247551620106</v>
      </c>
      <c r="G94" s="63">
        <v>4.1041659167154278E-2</v>
      </c>
      <c r="H94" s="118">
        <v>320</v>
      </c>
      <c r="J94" s="119">
        <f t="shared" si="2"/>
        <v>320</v>
      </c>
      <c r="K94" s="119">
        <f t="shared" si="3"/>
        <v>324.1507729578309</v>
      </c>
    </row>
    <row r="95" spans="2:11" x14ac:dyDescent="0.35">
      <c r="B95" s="109">
        <v>10</v>
      </c>
      <c r="C95" s="63">
        <v>-2.7640471940874285</v>
      </c>
      <c r="D95" s="63">
        <v>0.10038131014599004</v>
      </c>
      <c r="E95" s="63">
        <v>0.24000749517013031</v>
      </c>
      <c r="F95" s="63">
        <v>-0.22966479539693771</v>
      </c>
      <c r="G95" s="63">
        <v>-6.6316368648363044E-2</v>
      </c>
      <c r="H95" s="118">
        <v>210</v>
      </c>
      <c r="J95" s="119">
        <f t="shared" si="2"/>
        <v>210</v>
      </c>
      <c r="K95" s="119">
        <f t="shared" si="3"/>
        <v>206.69884686006642</v>
      </c>
    </row>
    <row r="96" spans="2:11" x14ac:dyDescent="0.35">
      <c r="B96" s="109">
        <v>11</v>
      </c>
      <c r="C96" s="63">
        <v>2.3017199872002081</v>
      </c>
      <c r="D96" s="63">
        <v>0.7282976706968749</v>
      </c>
      <c r="E96" s="63">
        <v>-0.11558908153934676</v>
      </c>
      <c r="F96" s="63">
        <v>-2.4801116583259342E-2</v>
      </c>
      <c r="G96" s="63">
        <v>2.6318782080478369E-2</v>
      </c>
      <c r="H96" s="118">
        <v>455</v>
      </c>
      <c r="J96" s="119">
        <f t="shared" si="2"/>
        <v>455</v>
      </c>
      <c r="K96" s="119">
        <f t="shared" si="3"/>
        <v>449.33660606386292</v>
      </c>
    </row>
    <row r="97" spans="2:11" x14ac:dyDescent="0.35">
      <c r="B97" s="109">
        <v>12</v>
      </c>
      <c r="C97" s="63">
        <v>-0.57416959583474159</v>
      </c>
      <c r="D97" s="63">
        <v>0.53838408152768813</v>
      </c>
      <c r="E97" s="63">
        <v>0.10345572844106328</v>
      </c>
      <c r="F97" s="63">
        <v>0.13187170461406128</v>
      </c>
      <c r="G97" s="63">
        <v>4.3316741199955287E-2</v>
      </c>
      <c r="H97" s="118">
        <v>305</v>
      </c>
      <c r="J97" s="119">
        <f t="shared" si="2"/>
        <v>305</v>
      </c>
      <c r="K97" s="119">
        <f t="shared" si="3"/>
        <v>310.77109787639148</v>
      </c>
    </row>
    <row r="99" spans="2:11" x14ac:dyDescent="0.35">
      <c r="B99" s="147" t="s">
        <v>306</v>
      </c>
      <c r="C99" s="147"/>
      <c r="D99" s="147"/>
      <c r="E99" s="147"/>
      <c r="F99" s="147"/>
      <c r="G99" s="147"/>
      <c r="H99" s="147"/>
    </row>
    <row r="100" spans="2:11" x14ac:dyDescent="0.35">
      <c r="B100" s="2" t="s">
        <v>307</v>
      </c>
    </row>
    <row r="101" spans="2:11" x14ac:dyDescent="0.35">
      <c r="B101" s="109" t="s">
        <v>284</v>
      </c>
      <c r="C101" s="108" t="s">
        <v>308</v>
      </c>
      <c r="D101" s="108" t="s">
        <v>309</v>
      </c>
      <c r="E101" s="108" t="s">
        <v>310</v>
      </c>
      <c r="F101" s="108" t="s">
        <v>290</v>
      </c>
    </row>
    <row r="102" spans="2:11" x14ac:dyDescent="0.35">
      <c r="B102" s="70" t="s">
        <v>291</v>
      </c>
      <c r="C102" s="64">
        <f>INDEX(LINEST(H86:H97,C86:E97),1,3)</f>
        <v>52.172671874281228</v>
      </c>
      <c r="D102" s="64">
        <f>INDEX(LINEST(H86:H97,C86:E97),1,2)</f>
        <v>-9.4633189369775277</v>
      </c>
      <c r="E102" s="64">
        <f>INDEX(LINEST(H86:H97,C86:E97),1,1)</f>
        <v>44.192430356902918</v>
      </c>
      <c r="F102" s="111">
        <f>INDEX(LINEST(H86:H97,C86:E97),1,4)</f>
        <v>341.25</v>
      </c>
    </row>
    <row r="103" spans="2:11" x14ac:dyDescent="0.35">
      <c r="B103" s="65" t="s">
        <v>292</v>
      </c>
      <c r="C103" s="66">
        <f>INDEX(LINEST(H86:H97,C86:E97,TRUE,TRUE),2,3)</f>
        <v>0.6769945943931992</v>
      </c>
      <c r="D103" s="66">
        <f>INDEX(LINEST(H86:H97,C86:E97,TRUE,TRUE),2,2)</f>
        <v>3.0441299486570572</v>
      </c>
      <c r="E103" s="66">
        <f>INDEX(LINEST(H86:H97,C86:E97,TRUE,TRUE),2,1)</f>
        <v>3.9949450362155221</v>
      </c>
      <c r="F103" s="120">
        <f>INDEX(LINEST(H86:H97,C86:E97,TRUE,TRUE),2,4)</f>
        <v>1.3905514942061059</v>
      </c>
    </row>
    <row r="104" spans="2:11" x14ac:dyDescent="0.35">
      <c r="B104" s="73" t="s">
        <v>311</v>
      </c>
      <c r="C104" s="121">
        <f>C102/C103</f>
        <v>77.065123276271365</v>
      </c>
      <c r="D104" s="121">
        <f>D102/D103</f>
        <v>-3.108710566430434</v>
      </c>
      <c r="E104" s="121">
        <f>E102/E103</f>
        <v>11.062087201772153</v>
      </c>
      <c r="F104" s="122"/>
    </row>
    <row r="106" spans="2:11" x14ac:dyDescent="0.35">
      <c r="B106" s="68" t="s">
        <v>312</v>
      </c>
      <c r="C106" s="69">
        <f>INDEX(LINEST(H86:H97,C86:E97,TRUE,TRUE),3,1)</f>
        <v>0.99868400859960671</v>
      </c>
      <c r="D106" s="123" t="s">
        <v>313</v>
      </c>
    </row>
    <row r="107" spans="2:11" x14ac:dyDescent="0.35">
      <c r="B107" s="68" t="s">
        <v>314</v>
      </c>
      <c r="C107" s="69">
        <f>CORREL(C86:C97,D86:D97)</f>
        <v>9.860597243180148E-18</v>
      </c>
      <c r="D107" s="123" t="s">
        <v>315</v>
      </c>
    </row>
    <row r="109" spans="2:11" x14ac:dyDescent="0.35">
      <c r="B109" s="147" t="s">
        <v>316</v>
      </c>
      <c r="C109" s="147"/>
      <c r="D109" s="147"/>
      <c r="E109" s="147"/>
      <c r="F109" s="147"/>
      <c r="G109" s="147"/>
      <c r="H109" s="147"/>
    </row>
    <row r="110" spans="2:11" ht="30" x14ac:dyDescent="0.35">
      <c r="B110" s="109" t="s">
        <v>317</v>
      </c>
      <c r="C110" s="127" t="s">
        <v>318</v>
      </c>
      <c r="D110" s="128" t="s">
        <v>319</v>
      </c>
    </row>
    <row r="111" spans="2:11" x14ac:dyDescent="0.35">
      <c r="B111" s="1" t="s">
        <v>320</v>
      </c>
      <c r="C111" s="63">
        <f>C38</f>
        <v>0.99885363251985171</v>
      </c>
      <c r="D111" s="63">
        <f>C106</f>
        <v>0.99868400859960671</v>
      </c>
    </row>
    <row r="112" spans="2:11" ht="60" x14ac:dyDescent="0.35">
      <c r="B112" s="1" t="s">
        <v>321</v>
      </c>
      <c r="C112" s="24" t="s">
        <v>322</v>
      </c>
      <c r="D112" s="134" t="s">
        <v>323</v>
      </c>
    </row>
    <row r="113" spans="2:8" x14ac:dyDescent="0.35">
      <c r="B113" s="1" t="s">
        <v>324</v>
      </c>
      <c r="C113" s="124" t="s">
        <v>325</v>
      </c>
      <c r="D113" s="125" t="s">
        <v>326</v>
      </c>
    </row>
    <row r="114" spans="2:8" x14ac:dyDescent="0.35">
      <c r="B114" s="1" t="s">
        <v>327</v>
      </c>
      <c r="C114" s="124" t="s">
        <v>328</v>
      </c>
      <c r="D114" s="125" t="s">
        <v>329</v>
      </c>
    </row>
    <row r="115" spans="2:8" x14ac:dyDescent="0.35">
      <c r="B115" s="1" t="s">
        <v>330</v>
      </c>
      <c r="C115" s="1">
        <v>5</v>
      </c>
      <c r="D115" s="1" t="s">
        <v>331</v>
      </c>
    </row>
    <row r="116" spans="2:8" ht="90" x14ac:dyDescent="0.35">
      <c r="B116" s="1" t="s">
        <v>332</v>
      </c>
      <c r="C116" s="1" t="s">
        <v>333</v>
      </c>
      <c r="D116" s="29" t="s">
        <v>334</v>
      </c>
    </row>
    <row r="118" spans="2:8" ht="29" customHeight="1" x14ac:dyDescent="0.35">
      <c r="B118" s="148" t="s">
        <v>335</v>
      </c>
      <c r="C118" s="148"/>
      <c r="D118" s="148"/>
      <c r="E118" s="148"/>
      <c r="F118" s="148"/>
      <c r="G118" s="148"/>
      <c r="H118" s="148"/>
    </row>
    <row r="119" spans="2:8" ht="138" customHeight="1" x14ac:dyDescent="0.35">
      <c r="B119" s="149" t="s">
        <v>336</v>
      </c>
      <c r="C119" s="149"/>
      <c r="D119" s="149"/>
      <c r="E119" s="149"/>
      <c r="F119" s="149"/>
      <c r="G119" s="149"/>
      <c r="H119" s="149"/>
    </row>
  </sheetData>
  <mergeCells count="14">
    <mergeCell ref="B5:H5"/>
    <mergeCell ref="B6:H6"/>
    <mergeCell ref="J23:P23"/>
    <mergeCell ref="B39:H39"/>
    <mergeCell ref="B41:H41"/>
    <mergeCell ref="B99:H99"/>
    <mergeCell ref="B109:H109"/>
    <mergeCell ref="B118:H118"/>
    <mergeCell ref="B119:H119"/>
    <mergeCell ref="B8:H8"/>
    <mergeCell ref="B23:H23"/>
    <mergeCell ref="B33:H33"/>
    <mergeCell ref="B72:H72"/>
    <mergeCell ref="B83:H8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7EF3-4964-D74B-B98E-0AB37556951D}">
  <dimension ref="B2:Q71"/>
  <sheetViews>
    <sheetView workbookViewId="0">
      <selection activeCell="C28" sqref="C28"/>
    </sheetView>
  </sheetViews>
  <sheetFormatPr baseColWidth="10" defaultRowHeight="16" x14ac:dyDescent="0.2"/>
  <cols>
    <col min="2" max="2" width="73.6640625" bestFit="1" customWidth="1"/>
    <col min="3" max="3" width="10.5" bestFit="1" customWidth="1"/>
    <col min="4" max="4" width="9.6640625" bestFit="1" customWidth="1"/>
    <col min="5" max="7" width="9.33203125" bestFit="1" customWidth="1"/>
    <col min="8" max="8" width="8.6640625" bestFit="1" customWidth="1"/>
    <col min="9" max="13" width="9.33203125" bestFit="1" customWidth="1"/>
    <col min="15" max="15" width="56.6640625" bestFit="1" customWidth="1"/>
    <col min="16" max="16" width="6.6640625" bestFit="1" customWidth="1"/>
    <col min="17" max="17" width="8.1640625" bestFit="1" customWidth="1"/>
  </cols>
  <sheetData>
    <row r="2" spans="2:17" ht="19" x14ac:dyDescent="0.25">
      <c r="B2" s="155" t="s">
        <v>354</v>
      </c>
    </row>
    <row r="3" spans="2:17" x14ac:dyDescent="0.2">
      <c r="B3" s="156" t="s">
        <v>355</v>
      </c>
    </row>
    <row r="5" spans="2:17" x14ac:dyDescent="0.2">
      <c r="B5" s="158" t="s">
        <v>356</v>
      </c>
      <c r="O5" s="163" t="s">
        <v>367</v>
      </c>
    </row>
    <row r="6" spans="2:17" x14ac:dyDescent="0.2">
      <c r="C6" s="159" t="s">
        <v>278</v>
      </c>
      <c r="D6" s="159" t="s">
        <v>272</v>
      </c>
      <c r="E6" s="159" t="s">
        <v>279</v>
      </c>
      <c r="F6" s="159" t="s">
        <v>280</v>
      </c>
      <c r="G6" s="159" t="s">
        <v>275</v>
      </c>
      <c r="O6" s="164" t="s">
        <v>194</v>
      </c>
      <c r="P6" s="164" t="s">
        <v>368</v>
      </c>
      <c r="Q6" s="164" t="s">
        <v>369</v>
      </c>
    </row>
    <row r="7" spans="2:17" x14ac:dyDescent="0.2">
      <c r="B7" s="157" t="s">
        <v>278</v>
      </c>
      <c r="C7" s="160">
        <f>SUMPRODUCT('10. Case Study'!$C$48:$C$59,'10. Case Study'!C$48:C$59)/11</f>
        <v>1</v>
      </c>
      <c r="D7" s="160">
        <f>SUMPRODUCT('10. Case Study'!$C$48:$C$59,'10. Case Study'!D$48:D$59)/11</f>
        <v>0.94233080980653694</v>
      </c>
      <c r="E7" s="160">
        <f>SUMPRODUCT('10. Case Study'!$C$48:$C$59,'10. Case Study'!E$48:E$59)/11</f>
        <v>-0.89634780130897618</v>
      </c>
      <c r="F7" s="160">
        <f>SUMPRODUCT('10. Case Study'!$C$48:$C$59,'10. Case Study'!F$48:F$59)/11</f>
        <v>0.99725835704829191</v>
      </c>
      <c r="G7" s="160">
        <f>SUMPRODUCT('10. Case Study'!$C$48:$C$59,'10. Case Study'!G$48:G$59)/11</f>
        <v>0.85753991033906718</v>
      </c>
      <c r="O7" s="157" t="s">
        <v>181</v>
      </c>
      <c r="P7" s="160">
        <f>H23</f>
        <v>4.6024842508114592</v>
      </c>
      <c r="Q7" s="165">
        <f>P7/5</f>
        <v>0.92049685016229188</v>
      </c>
    </row>
    <row r="8" spans="2:17" x14ac:dyDescent="0.2">
      <c r="B8" s="157" t="s">
        <v>272</v>
      </c>
      <c r="C8" s="160">
        <f>SUMPRODUCT('10. Case Study'!$D$48:$D$59,'10. Case Study'!C$48:C$59)/11</f>
        <v>0.94233080980653694</v>
      </c>
      <c r="D8" s="160">
        <f>SUMPRODUCT('10. Case Study'!$D$48:$D$59,'10. Case Study'!D$48:D$59)/11</f>
        <v>1.0000000000000009</v>
      </c>
      <c r="E8" s="160">
        <f>SUMPRODUCT('10. Case Study'!$D$48:$D$59,'10. Case Study'!E$48:E$59)/11</f>
        <v>-0.94625394104010219</v>
      </c>
      <c r="F8" s="160">
        <f>SUMPRODUCT('10. Case Study'!$D$48:$D$59,'10. Case Study'!F$48:F$59)/11</f>
        <v>0.95054054918499442</v>
      </c>
      <c r="G8" s="160">
        <f>SUMPRODUCT('10. Case Study'!$D$48:$D$59,'10. Case Study'!G$48:G$59)/11</f>
        <v>0.80860754006264057</v>
      </c>
      <c r="O8" s="157" t="s">
        <v>182</v>
      </c>
      <c r="P8" s="160">
        <f>H39</f>
        <v>0.22762534202378917</v>
      </c>
      <c r="Q8" s="165">
        <f>P8/5</f>
        <v>4.5525068404757833E-2</v>
      </c>
    </row>
    <row r="9" spans="2:17" x14ac:dyDescent="0.2">
      <c r="B9" s="157" t="s">
        <v>279</v>
      </c>
      <c r="C9" s="160">
        <f>SUMPRODUCT('10. Case Study'!$E$48:$E$59,'10. Case Study'!C$48:C$59)/11</f>
        <v>-0.89634780130897618</v>
      </c>
      <c r="D9" s="160">
        <f>SUMPRODUCT('10. Case Study'!$E$48:$E$59,'10. Case Study'!D$48:D$59)/11</f>
        <v>-0.94625394104010219</v>
      </c>
      <c r="E9" s="160">
        <f>SUMPRODUCT('10. Case Study'!$E$48:$E$59,'10. Case Study'!E$48:E$59)/11</f>
        <v>1.0000000000000002</v>
      </c>
      <c r="F9" s="160">
        <f>SUMPRODUCT('10. Case Study'!$E$48:$E$59,'10. Case Study'!F$48:F$59)/11</f>
        <v>-0.90677558793420399</v>
      </c>
      <c r="G9" s="160">
        <f>SUMPRODUCT('10. Case Study'!$E$48:$E$59,'10. Case Study'!G$48:G$59)/11</f>
        <v>-0.82531761029161865</v>
      </c>
      <c r="O9" s="157" t="s">
        <v>296</v>
      </c>
      <c r="P9" s="160">
        <f>H55</f>
        <v>0.13217854618029193</v>
      </c>
      <c r="Q9" s="165">
        <f>P9/5</f>
        <v>2.6435709236058386E-2</v>
      </c>
    </row>
    <row r="10" spans="2:17" x14ac:dyDescent="0.2">
      <c r="B10" s="157" t="s">
        <v>280</v>
      </c>
      <c r="C10" s="160">
        <f>SUMPRODUCT('10. Case Study'!$F$48:$F$59,'10. Case Study'!C$48:C$59)/11</f>
        <v>0.99725835704829191</v>
      </c>
      <c r="D10" s="160">
        <f>SUMPRODUCT('10. Case Study'!$F$48:$F$59,'10. Case Study'!D$48:D$59)/11</f>
        <v>0.95054054918499442</v>
      </c>
      <c r="E10" s="160">
        <f>SUMPRODUCT('10. Case Study'!$F$48:$F$59,'10. Case Study'!E$48:E$59)/11</f>
        <v>-0.90677558793420399</v>
      </c>
      <c r="F10" s="160">
        <f>SUMPRODUCT('10. Case Study'!$F$48:$F$59,'10. Case Study'!F$48:F$59)/11</f>
        <v>1.0000000000000011</v>
      </c>
      <c r="G10" s="160">
        <f>SUMPRODUCT('10. Case Study'!$F$48:$F$59,'10. Case Study'!G$48:G$59)/11</f>
        <v>0.86557409576422872</v>
      </c>
      <c r="O10" s="157" t="s">
        <v>297</v>
      </c>
      <c r="P10" s="160">
        <f>H71</f>
        <v>3.5463923512633007E-2</v>
      </c>
      <c r="Q10" s="165">
        <f>P10/5</f>
        <v>7.0927847025266015E-3</v>
      </c>
    </row>
    <row r="11" spans="2:17" x14ac:dyDescent="0.2">
      <c r="B11" s="157" t="s">
        <v>275</v>
      </c>
      <c r="C11" s="160">
        <f>SUMPRODUCT('10. Case Study'!$G$48:$G$59,'10. Case Study'!C$48:C$59)/11</f>
        <v>0.85753991033906718</v>
      </c>
      <c r="D11" s="160">
        <f>SUMPRODUCT('10. Case Study'!$G$48:$G$59,'10. Case Study'!D$48:D$59)/11</f>
        <v>0.80860754006264057</v>
      </c>
      <c r="E11" s="160">
        <f>SUMPRODUCT('10. Case Study'!$G$48:$G$59,'10. Case Study'!E$48:E$59)/11</f>
        <v>-0.82531761029161865</v>
      </c>
      <c r="F11" s="160">
        <f>SUMPRODUCT('10. Case Study'!$G$48:$G$59,'10. Case Study'!F$48:F$59)/11</f>
        <v>0.86557409576422872</v>
      </c>
      <c r="G11" s="160">
        <f>SUMPRODUCT('10. Case Study'!$G$48:$G$59,'10. Case Study'!G$48:G$59)/11</f>
        <v>1.0000000000000002</v>
      </c>
      <c r="O11" s="157" t="s">
        <v>298</v>
      </c>
      <c r="P11" s="160">
        <f>5-SUM(P7:P10)</f>
        <v>2.247937471826944E-3</v>
      </c>
      <c r="Q11" s="165">
        <f>P11/5</f>
        <v>4.4958749436538879E-4</v>
      </c>
    </row>
    <row r="12" spans="2:17" x14ac:dyDescent="0.2">
      <c r="O12" s="166" t="s">
        <v>370</v>
      </c>
      <c r="P12" s="167">
        <f>SUM(P7:P11)</f>
        <v>5</v>
      </c>
      <c r="Q12" s="168">
        <f>SUM(Q7:Q11)</f>
        <v>1</v>
      </c>
    </row>
    <row r="13" spans="2:17" x14ac:dyDescent="0.2">
      <c r="B13" s="158" t="s">
        <v>372</v>
      </c>
    </row>
    <row r="14" spans="2:17" x14ac:dyDescent="0.2">
      <c r="B14" s="159" t="s">
        <v>357</v>
      </c>
      <c r="C14" s="159" t="s">
        <v>371</v>
      </c>
      <c r="D14" s="159" t="s">
        <v>358</v>
      </c>
      <c r="E14" s="159" t="s">
        <v>359</v>
      </c>
      <c r="F14" s="159" t="s">
        <v>360</v>
      </c>
      <c r="G14" s="159" t="s">
        <v>361</v>
      </c>
      <c r="H14" s="161" t="s">
        <v>373</v>
      </c>
      <c r="I14" s="161" t="s">
        <v>362</v>
      </c>
      <c r="J14" s="161" t="s">
        <v>363</v>
      </c>
      <c r="K14" s="161" t="s">
        <v>364</v>
      </c>
      <c r="L14" s="161" t="s">
        <v>365</v>
      </c>
      <c r="M14" s="161" t="s">
        <v>366</v>
      </c>
    </row>
    <row r="15" spans="2:17" x14ac:dyDescent="0.2">
      <c r="B15" s="162">
        <v>0</v>
      </c>
      <c r="I15" s="170">
        <f>1/SQRT(5)</f>
        <v>0.44721359549995793</v>
      </c>
      <c r="J15" s="170">
        <f>1/SQRT(5)</f>
        <v>0.44721359549995793</v>
      </c>
      <c r="K15" s="170">
        <f>1/SQRT(5)</f>
        <v>0.44721359549995793</v>
      </c>
      <c r="L15" s="170">
        <f>1/SQRT(5)</f>
        <v>0.44721359549995793</v>
      </c>
      <c r="M15" s="170">
        <f>1/SQRT(5)</f>
        <v>0.44721359549995793</v>
      </c>
    </row>
    <row r="16" spans="2:17" x14ac:dyDescent="0.2">
      <c r="B16" s="162">
        <f>B15+1</f>
        <v>1</v>
      </c>
      <c r="C16" s="160">
        <f>SUMPRODUCT($C$7:$G$7,$I15:$M15)</f>
        <v>1.2972688241474504</v>
      </c>
      <c r="D16" s="160">
        <f>SUMPRODUCT($C$8:$G$8,$I15:$M15)</f>
        <v>1.2321740598846933</v>
      </c>
      <c r="E16" s="160">
        <f>SUMPRODUCT($C$9:$G$9,$I15:$M15)</f>
        <v>-1.1514385816900519</v>
      </c>
      <c r="F16" s="160">
        <f>SUMPRODUCT($C$10:$G$10,$I15:$M15)</f>
        <v>1.2998698802141337</v>
      </c>
      <c r="G16" s="160">
        <f>SUMPRODUCT($C$11:$G$11,$I15:$M15)</f>
        <v>1.2103406350375914</v>
      </c>
      <c r="H16" s="167">
        <f>SQRT(SUMSQ(C16:G16))</f>
        <v>2.7715620652753099</v>
      </c>
      <c r="I16" s="170">
        <f>C16/$H16</f>
        <v>0.46806414346654285</v>
      </c>
      <c r="J16" s="170">
        <f>D16/$H16</f>
        <v>0.44457747323161489</v>
      </c>
      <c r="K16" s="170">
        <f>E16/$H16</f>
        <v>-0.4154475182484052</v>
      </c>
      <c r="L16" s="170">
        <f>F16/$H16</f>
        <v>0.46900262364682521</v>
      </c>
      <c r="M16" s="170">
        <f>G16/$H16</f>
        <v>0.43669981278855596</v>
      </c>
    </row>
    <row r="17" spans="2:13" x14ac:dyDescent="0.2">
      <c r="B17" s="162">
        <f t="shared" ref="B17:B23" si="0">B16+1</f>
        <v>2</v>
      </c>
      <c r="C17" s="160">
        <f t="shared" ref="C17:C23" si="1">SUMPRODUCT($C$7:$G$7,$I16:$M16)</f>
        <v>2.1015929675930201</v>
      </c>
      <c r="D17" s="160">
        <f t="shared" ref="D17:D23" si="2">SUMPRODUCT($C$8:$G$8,$I16:$M16)</f>
        <v>2.077692360838955</v>
      </c>
      <c r="E17" s="160">
        <f t="shared" ref="E17:E23" si="3">SUMPRODUCT($C$9:$G$9,$I16:$M16)</f>
        <v>-2.0413751459647584</v>
      </c>
      <c r="F17" s="160">
        <f t="shared" ref="F17:F23" si="4">SUMPRODUCT($C$10:$G$10,$I16:$M16)</f>
        <v>2.1130861311047084</v>
      </c>
      <c r="G17" s="160">
        <f t="shared" ref="G17:G23" si="5">SUMPRODUCT($C$11:$G$11,$I16:$M16)</f>
        <v>1.946404868243377</v>
      </c>
      <c r="H17" s="167">
        <f t="shared" ref="H17:H23" si="6">SQRT(SUMSQ(C17:G17))</f>
        <v>4.5993843004119812</v>
      </c>
      <c r="I17" s="170">
        <f t="shared" ref="I17:I23" si="7">C17/$H17</f>
        <v>0.45692919537181831</v>
      </c>
      <c r="J17" s="170">
        <f t="shared" ref="J17:J23" si="8">D17/$H17</f>
        <v>0.45173271575781343</v>
      </c>
      <c r="K17" s="170">
        <f t="shared" ref="K17:K23" si="9">E17/$H17</f>
        <v>-0.44383661217043902</v>
      </c>
      <c r="L17" s="170">
        <f t="shared" ref="L17:L23" si="10">F17/$H17</f>
        <v>0.45942804364389223</v>
      </c>
      <c r="M17" s="170">
        <f t="shared" ref="M17:M23" si="11">G17/$H17</f>
        <v>0.42318813587049714</v>
      </c>
    </row>
    <row r="18" spans="2:13" x14ac:dyDescent="0.2">
      <c r="B18" s="162">
        <f t="shared" si="0"/>
        <v>3</v>
      </c>
      <c r="C18" s="160">
        <f t="shared" si="1"/>
        <v>2.1015119947645449</v>
      </c>
      <c r="D18" s="160">
        <f t="shared" si="2"/>
        <v>2.0811914203471442</v>
      </c>
      <c r="E18" s="160">
        <f t="shared" si="3"/>
        <v>-2.0467207097674822</v>
      </c>
      <c r="F18" s="160">
        <f t="shared" si="4"/>
        <v>2.1132556590208815</v>
      </c>
      <c r="G18" s="160">
        <f t="shared" si="5"/>
        <v>1.9442728227179153</v>
      </c>
      <c r="H18" s="167">
        <f t="shared" si="6"/>
        <v>4.60248002120598</v>
      </c>
      <c r="I18" s="170">
        <f t="shared" si="7"/>
        <v>0.45660426228507328</v>
      </c>
      <c r="J18" s="170">
        <f t="shared" si="8"/>
        <v>0.45218912646182724</v>
      </c>
      <c r="K18" s="170">
        <f t="shared" si="9"/>
        <v>-0.44469953163016307</v>
      </c>
      <c r="L18" s="170">
        <f t="shared" si="10"/>
        <v>0.4591558571213849</v>
      </c>
      <c r="M18" s="170">
        <f t="shared" si="11"/>
        <v>0.42244025259417872</v>
      </c>
    </row>
    <row r="19" spans="2:13" x14ac:dyDescent="0.2">
      <c r="B19" s="162">
        <f t="shared" si="0"/>
        <v>4</v>
      </c>
      <c r="C19" s="160">
        <f t="shared" si="1"/>
        <v>2.101477847464583</v>
      </c>
      <c r="D19" s="160">
        <f t="shared" si="2"/>
        <v>2.0812947091490539</v>
      </c>
      <c r="E19" s="160">
        <f t="shared" si="3"/>
        <v>-2.046860203264373</v>
      </c>
      <c r="F19" s="160">
        <f t="shared" si="4"/>
        <v>2.1132283930531779</v>
      </c>
      <c r="G19" s="160">
        <f t="shared" si="5"/>
        <v>1.9440919385114295</v>
      </c>
      <c r="H19" s="167">
        <f t="shared" si="6"/>
        <v>4.602484243103385</v>
      </c>
      <c r="I19" s="170">
        <f t="shared" si="7"/>
        <v>0.456596424118899</v>
      </c>
      <c r="J19" s="170">
        <f t="shared" si="8"/>
        <v>0.45221115363247144</v>
      </c>
      <c r="K19" s="170">
        <f t="shared" si="9"/>
        <v>-0.44472943200870285</v>
      </c>
      <c r="L19" s="170">
        <f t="shared" si="10"/>
        <v>0.45914951174895496</v>
      </c>
      <c r="M19" s="170">
        <f t="shared" si="11"/>
        <v>0.42240056365745599</v>
      </c>
    </row>
    <row r="20" spans="2:13" x14ac:dyDescent="0.2">
      <c r="B20" s="162">
        <f t="shared" si="0"/>
        <v>5</v>
      </c>
      <c r="C20" s="160">
        <f t="shared" si="1"/>
        <v>2.1014772044955992</v>
      </c>
      <c r="D20" s="160">
        <f t="shared" si="2"/>
        <v>2.0812995192179664</v>
      </c>
      <c r="E20" s="160">
        <f t="shared" si="3"/>
        <v>-2.0468654114097018</v>
      </c>
      <c r="F20" s="160">
        <f t="shared" si="4"/>
        <v>2.1132279279407222</v>
      </c>
      <c r="G20" s="160">
        <f t="shared" si="5"/>
        <v>1.9440825242896174</v>
      </c>
      <c r="H20" s="167">
        <f t="shared" si="6"/>
        <v>4.6024842507947721</v>
      </c>
      <c r="I20" s="170">
        <f t="shared" si="7"/>
        <v>0.45659628365544308</v>
      </c>
      <c r="J20" s="170">
        <f t="shared" si="8"/>
        <v>0.45221219797950657</v>
      </c>
      <c r="K20" s="170">
        <f t="shared" si="9"/>
        <v>-0.44473056285988211</v>
      </c>
      <c r="L20" s="170">
        <f t="shared" si="10"/>
        <v>0.4591494099248255</v>
      </c>
      <c r="M20" s="170">
        <f t="shared" si="11"/>
        <v>0.42239851748626989</v>
      </c>
    </row>
    <row r="21" spans="2:13" x14ac:dyDescent="0.2">
      <c r="B21" s="162">
        <f t="shared" si="0"/>
        <v>6</v>
      </c>
      <c r="C21" s="160">
        <f t="shared" si="1"/>
        <v>2.1014772055700792</v>
      </c>
      <c r="D21" s="160">
        <f t="shared" si="2"/>
        <v>2.0812997499369308</v>
      </c>
      <c r="E21" s="160">
        <f t="shared" si="3"/>
        <v>-2.0468656235015206</v>
      </c>
      <c r="F21" s="160">
        <f t="shared" si="4"/>
        <v>2.1132279330479107</v>
      </c>
      <c r="G21" s="160">
        <f t="shared" si="5"/>
        <v>1.9440820473073632</v>
      </c>
      <c r="H21" s="167">
        <f t="shared" si="6"/>
        <v>4.602484250811421</v>
      </c>
      <c r="I21" s="170">
        <f t="shared" si="7"/>
        <v>0.45659628388724793</v>
      </c>
      <c r="J21" s="170">
        <f t="shared" si="8"/>
        <v>0.45221224810709482</v>
      </c>
      <c r="K21" s="170">
        <f t="shared" si="9"/>
        <v>-0.4447306089403037</v>
      </c>
      <c r="L21" s="170">
        <f t="shared" si="10"/>
        <v>0.4591494110328237</v>
      </c>
      <c r="M21" s="170">
        <f t="shared" si="11"/>
        <v>0.42239841384891652</v>
      </c>
    </row>
    <row r="22" spans="2:13" x14ac:dyDescent="0.2">
      <c r="B22" s="162">
        <f t="shared" si="0"/>
        <v>7</v>
      </c>
      <c r="C22" s="160">
        <f t="shared" si="1"/>
        <v>2.1014772065745331</v>
      </c>
      <c r="D22" s="160">
        <f t="shared" si="2"/>
        <v>2.0812997611379886</v>
      </c>
      <c r="E22" s="160">
        <f t="shared" si="3"/>
        <v>-2.0468656326941206</v>
      </c>
      <c r="F22" s="160">
        <f t="shared" si="4"/>
        <v>2.1132279341141764</v>
      </c>
      <c r="G22" s="160">
        <f t="shared" si="5"/>
        <v>1.9440820233923755</v>
      </c>
      <c r="H22" s="167">
        <f t="shared" si="6"/>
        <v>4.6024842508114592</v>
      </c>
      <c r="I22" s="170">
        <f t="shared" si="7"/>
        <v>0.45659628410548581</v>
      </c>
      <c r="J22" s="170">
        <f t="shared" si="8"/>
        <v>0.45221225054078934</v>
      </c>
      <c r="K22" s="170">
        <f t="shared" si="9"/>
        <v>-0.44473061093761262</v>
      </c>
      <c r="L22" s="170">
        <f t="shared" si="10"/>
        <v>0.45914941126449166</v>
      </c>
      <c r="M22" s="170">
        <f t="shared" si="11"/>
        <v>0.42239840865280881</v>
      </c>
    </row>
    <row r="23" spans="2:13" x14ac:dyDescent="0.2">
      <c r="B23" s="162">
        <f t="shared" si="0"/>
        <v>8</v>
      </c>
      <c r="C23" s="160">
        <f t="shared" si="1"/>
        <v>2.101477206651563</v>
      </c>
      <c r="D23" s="160">
        <f t="shared" si="2"/>
        <v>2.0812997616858948</v>
      </c>
      <c r="E23" s="160">
        <f t="shared" si="3"/>
        <v>-2.0468656331115715</v>
      </c>
      <c r="F23" s="160">
        <f t="shared" si="4"/>
        <v>2.113227934190304</v>
      </c>
      <c r="G23" s="160">
        <f t="shared" si="5"/>
        <v>1.9440820222002591</v>
      </c>
      <c r="H23" s="167">
        <f t="shared" si="6"/>
        <v>4.6024842508114592</v>
      </c>
      <c r="I23" s="170">
        <f t="shared" si="7"/>
        <v>0.45659628412222242</v>
      </c>
      <c r="J23" s="170">
        <f t="shared" si="8"/>
        <v>0.45221225065983506</v>
      </c>
      <c r="K23" s="170">
        <f t="shared" si="9"/>
        <v>-0.44473061102831385</v>
      </c>
      <c r="L23" s="170">
        <f t="shared" si="10"/>
        <v>0.4591494112810322</v>
      </c>
      <c r="M23" s="170">
        <f t="shared" si="11"/>
        <v>0.422398408393793</v>
      </c>
    </row>
    <row r="25" spans="2:13" x14ac:dyDescent="0.2">
      <c r="B25" s="158" t="s">
        <v>374</v>
      </c>
    </row>
    <row r="26" spans="2:13" x14ac:dyDescent="0.2">
      <c r="C26" s="160">
        <f>C7-$H$23*$I$23*I$23</f>
        <v>4.047331627534867E-2</v>
      </c>
      <c r="D26" s="160">
        <f>D7-$H$23*$I$23*J$23</f>
        <v>-7.9829275237096597E-3</v>
      </c>
      <c r="E26" s="160">
        <f>E7-$H$23*$I$23*K$23</f>
        <v>3.8243440867247624E-2</v>
      </c>
      <c r="F26" s="160">
        <f>F7-$H$23*$I$23*L$23</f>
        <v>3.2366334793718643E-2</v>
      </c>
      <c r="G26" s="160">
        <f>G7-$H$23*$I$23*M$23</f>
        <v>-3.0120717026387078E-2</v>
      </c>
    </row>
    <row r="27" spans="2:13" x14ac:dyDescent="0.2">
      <c r="C27" s="160">
        <f>C8-$H$23*$J$23*I$23</f>
        <v>-7.9829275237096597E-3</v>
      </c>
      <c r="D27" s="160">
        <f>D8-$H$23*$J$23*J$23</f>
        <v>5.8810750470244089E-2</v>
      </c>
      <c r="E27" s="160">
        <f>E8-$H$23*$J$23*K$23</f>
        <v>-2.063622629245021E-2</v>
      </c>
      <c r="F27" s="160">
        <f>F8-$H$23*$J$23*L$23</f>
        <v>-5.0870110924368106E-3</v>
      </c>
      <c r="G27" s="160">
        <f>G8-$H$23*$J$23*M$23</f>
        <v>-7.0530166663862026E-2</v>
      </c>
    </row>
    <row r="28" spans="2:13" x14ac:dyDescent="0.2">
      <c r="C28" s="160">
        <f>C9-$H$23*$K$23*I$23</f>
        <v>3.8243440867247624E-2</v>
      </c>
      <c r="D28" s="160">
        <f>D9-$H$23*$K$23*J$23</f>
        <v>-2.063622629245021E-2</v>
      </c>
      <c r="E28" s="160">
        <f>E9-$H$23*$K$23*K$23</f>
        <v>8.9696196293434505E-2</v>
      </c>
      <c r="F28" s="160">
        <f>F9-$H$23*$K$23*L$23</f>
        <v>3.3041562480351394E-2</v>
      </c>
      <c r="G28" s="160">
        <f>G9-$H$23*$K$23*M$23</f>
        <v>3.9275175330662604E-2</v>
      </c>
    </row>
    <row r="29" spans="2:13" x14ac:dyDescent="0.2">
      <c r="C29" s="160">
        <f>C10-$H$23*$L$23*I$23</f>
        <v>3.2366334793718754E-2</v>
      </c>
      <c r="D29" s="160">
        <f>D10-$H$23*$L$23*J$23</f>
        <v>-5.0870110924366996E-3</v>
      </c>
      <c r="E29" s="160">
        <f>E10-$H$23*$L$23*K$23</f>
        <v>3.3041562480351283E-2</v>
      </c>
      <c r="F29" s="160">
        <f>F10-$H$23*$L$23*L$23</f>
        <v>2.9712638113891132E-2</v>
      </c>
      <c r="G29" s="160">
        <f>G10-$H$23*$L$23*M$23</f>
        <v>-2.7050020211058845E-2</v>
      </c>
    </row>
    <row r="30" spans="2:13" x14ac:dyDescent="0.2">
      <c r="C30" s="160">
        <f>C11-$H$23*$M$23*I$23</f>
        <v>-3.0120717026386967E-2</v>
      </c>
      <c r="D30" s="160">
        <f>D11-$H$23*$M$23*J$23</f>
        <v>-7.0530166663862026E-2</v>
      </c>
      <c r="E30" s="160">
        <f>E11-$H$23*$M$23*K$23</f>
        <v>3.9275175330662604E-2</v>
      </c>
      <c r="F30" s="160">
        <f>F11-$H$23*$M$23*L$23</f>
        <v>-2.7050020211058845E-2</v>
      </c>
      <c r="G30" s="160">
        <f>G11-$H$23*$M$23*M$23</f>
        <v>0.1788228480356242</v>
      </c>
    </row>
    <row r="31" spans="2:13" x14ac:dyDescent="0.2">
      <c r="B31" s="162">
        <v>0</v>
      </c>
      <c r="I31" s="170">
        <f>1/SQRT(5)</f>
        <v>0.44721359549995793</v>
      </c>
      <c r="J31" s="170">
        <f>-1/SQRT(5)</f>
        <v>-0.44721359549995793</v>
      </c>
      <c r="K31" s="170">
        <f>1/SQRT(5)</f>
        <v>0.44721359549995793</v>
      </c>
      <c r="L31" s="170">
        <f>-1/SQRT(5)</f>
        <v>-0.44721359549995793</v>
      </c>
      <c r="M31" s="170">
        <f>1/SQRT(5)</f>
        <v>0.44721359549995793</v>
      </c>
    </row>
    <row r="32" spans="2:13" x14ac:dyDescent="0.2">
      <c r="B32" s="162">
        <f>B31+1</f>
        <v>1</v>
      </c>
      <c r="C32" s="160">
        <f>SUMPRODUCT($C$26:$G$26,$I31:$M31)</f>
        <v>1.0828218591669587E-2</v>
      </c>
      <c r="D32" s="160">
        <f>SUMPRODUCT($C$27:$G$27,$I31:$M31)</f>
        <v>-6.8366910754100077E-2</v>
      </c>
      <c r="E32" s="160">
        <f>SUMPRODUCT($C$28:$G$28,$I31:$M31)</f>
        <v>6.9232902515128522E-2</v>
      </c>
      <c r="F32" s="160">
        <f>SUMPRODUCT($C$29:$G$29,$I31:$M31)</f>
        <v>6.141248915389046E-3</v>
      </c>
      <c r="G32" s="160">
        <f>SUMPRODUCT($C$30:$G$30,$I31:$M31)</f>
        <v>0.12770519326255481</v>
      </c>
      <c r="H32" s="167">
        <f>SQRT(SUMSQ(C32:G32))</f>
        <v>0.16103046581024535</v>
      </c>
      <c r="I32" s="170">
        <f>C32/$H32</f>
        <v>6.7243291741013247E-2</v>
      </c>
      <c r="J32" s="170">
        <f>D32/$H32</f>
        <v>-0.42455885853712982</v>
      </c>
      <c r="K32" s="170">
        <f>E32/$H32</f>
        <v>0.42993667171472388</v>
      </c>
      <c r="L32" s="170">
        <f>F32/$H32</f>
        <v>3.8137186553417503E-2</v>
      </c>
      <c r="M32" s="170">
        <f>G32/$H32</f>
        <v>0.79304989040421525</v>
      </c>
    </row>
    <row r="33" spans="2:13" x14ac:dyDescent="0.2">
      <c r="B33" s="162">
        <f t="shared" ref="B33:B39" si="12">B32+1</f>
        <v>2</v>
      </c>
      <c r="C33" s="160">
        <f t="shared" ref="C33:C39" si="13">SUMPRODUCT($C$26:$G$26,$I32:$M32)</f>
        <v>-9.9831095930560249E-5</v>
      </c>
      <c r="D33" s="160">
        <f t="shared" ref="D33:D39" si="14">SUMPRODUCT($C$27:$G$27,$I32:$M32)</f>
        <v>-9.0505639096709278E-2</v>
      </c>
      <c r="E33" s="160">
        <f t="shared" ref="E33:E39" si="15">SUMPRODUCT($C$28:$G$28,$I32:$M32)</f>
        <v>8.2303877354440752E-2</v>
      </c>
      <c r="F33" s="160">
        <f t="shared" ref="F33:F39" si="16">SUMPRODUCT($C$29:$G$29,$I32:$M32)</f>
        <v>-1.7769252241200684E-3</v>
      </c>
      <c r="G33" s="160">
        <f t="shared" ref="G33:G39" si="17">SUMPRODUCT($C$30:$G$30,$I32:$M32)</f>
        <v>0.1855884574208248</v>
      </c>
      <c r="H33" s="167">
        <f t="shared" ref="H33:H39" si="18">SQRT(SUMSQ(C33:G33))</f>
        <v>0.22228684597433954</v>
      </c>
      <c r="I33" s="170">
        <f t="shared" ref="I33:I39" si="19">C33/$H33</f>
        <v>-4.4910932760314844E-4</v>
      </c>
      <c r="J33" s="170">
        <f t="shared" ref="J33:J39" si="20">D33/$H33</f>
        <v>-0.40715697188468414</v>
      </c>
      <c r="K33" s="170">
        <f t="shared" ref="K33:K39" si="21">E33/$H33</f>
        <v>0.37025977400363935</v>
      </c>
      <c r="L33" s="170">
        <f t="shared" ref="L33:L39" si="22">F33/$H33</f>
        <v>-7.9938388451703257E-3</v>
      </c>
      <c r="M33" s="170">
        <f t="shared" ref="M33:M39" si="23">G33/$H33</f>
        <v>0.83490526219553662</v>
      </c>
    </row>
    <row r="34" spans="2:13" x14ac:dyDescent="0.2">
      <c r="B34" s="162">
        <f t="shared" si="12"/>
        <v>3</v>
      </c>
      <c r="C34" s="160">
        <f t="shared" si="13"/>
        <v>-8.0145409846841958E-3</v>
      </c>
      <c r="D34" s="160">
        <f t="shared" si="14"/>
        <v>-9.0427728896158521E-2</v>
      </c>
      <c r="E34" s="160">
        <f t="shared" si="15"/>
        <v>7.412282292250312E-2</v>
      </c>
      <c r="F34" s="160">
        <f t="shared" si="16"/>
        <v>-8.531084791269827E-3</v>
      </c>
      <c r="G34" s="160">
        <f t="shared" si="17"/>
        <v>0.19278876445029647</v>
      </c>
      <c r="H34" s="167">
        <f t="shared" si="18"/>
        <v>0.22577840243145669</v>
      </c>
      <c r="I34" s="170">
        <f t="shared" si="19"/>
        <v>-3.5497376624043141E-2</v>
      </c>
      <c r="J34" s="170">
        <f t="shared" si="20"/>
        <v>-0.40051540768436067</v>
      </c>
      <c r="K34" s="170">
        <f t="shared" si="21"/>
        <v>0.32829899637989429</v>
      </c>
      <c r="L34" s="170">
        <f t="shared" si="22"/>
        <v>-3.7785211957373784E-2</v>
      </c>
      <c r="M34" s="170">
        <f t="shared" si="23"/>
        <v>0.85388488169865828</v>
      </c>
    </row>
    <row r="35" spans="2:13" x14ac:dyDescent="0.2">
      <c r="B35" s="162">
        <f t="shared" si="12"/>
        <v>4</v>
      </c>
      <c r="C35" s="160">
        <f t="shared" si="13"/>
        <v>-1.2626721539764834E-2</v>
      </c>
      <c r="D35" s="160">
        <f t="shared" si="14"/>
        <v>-9.0078520322422487E-2</v>
      </c>
      <c r="E35" s="160">
        <f t="shared" si="15"/>
        <v>6.8642751984145961E-2</v>
      </c>
      <c r="F35" s="160">
        <f t="shared" si="16"/>
        <v>-1.2484283490219876E-2</v>
      </c>
      <c r="G35" s="160">
        <f t="shared" si="17"/>
        <v>0.19592784272263764</v>
      </c>
      <c r="H35" s="167">
        <f t="shared" si="18"/>
        <v>0.22699995200106898</v>
      </c>
      <c r="I35" s="170">
        <f t="shared" si="19"/>
        <v>-5.5624335725433863E-2</v>
      </c>
      <c r="J35" s="170">
        <f t="shared" si="20"/>
        <v>-0.39682175933675218</v>
      </c>
      <c r="K35" s="170">
        <f t="shared" si="21"/>
        <v>0.30239104184402077</v>
      </c>
      <c r="L35" s="170">
        <f t="shared" si="22"/>
        <v>-5.4996855198282533E-2</v>
      </c>
      <c r="M35" s="170">
        <f t="shared" si="23"/>
        <v>0.86311843238502084</v>
      </c>
    </row>
    <row r="36" spans="2:13" x14ac:dyDescent="0.2">
      <c r="B36" s="162">
        <f t="shared" si="12"/>
        <v>5</v>
      </c>
      <c r="C36" s="160">
        <f t="shared" si="13"/>
        <v>-1.5296820750335499E-2</v>
      </c>
      <c r="D36" s="160">
        <f t="shared" si="14"/>
        <v>-8.9729667671493388E-2</v>
      </c>
      <c r="E36" s="160">
        <f t="shared" si="15"/>
        <v>6.5266909611754784E-2</v>
      </c>
      <c r="F36" s="160">
        <f t="shared" si="16"/>
        <v>-1.4771719375174448E-2</v>
      </c>
      <c r="G36" s="160">
        <f t="shared" si="17"/>
        <v>0.19737277320067126</v>
      </c>
      <c r="H36" s="167">
        <f t="shared" si="18"/>
        <v>0.22741897627505939</v>
      </c>
      <c r="I36" s="170">
        <f t="shared" si="19"/>
        <v>-6.7262728031253882E-2</v>
      </c>
      <c r="J36" s="170">
        <f t="shared" si="20"/>
        <v>-0.39455664228725962</v>
      </c>
      <c r="K36" s="170">
        <f t="shared" si="21"/>
        <v>0.2869897256630668</v>
      </c>
      <c r="L36" s="170">
        <f t="shared" si="22"/>
        <v>-6.4953767786327138E-2</v>
      </c>
      <c r="M36" s="170">
        <f t="shared" si="23"/>
        <v>0.86788172400333141</v>
      </c>
    </row>
    <row r="37" spans="2:13" x14ac:dyDescent="0.2">
      <c r="B37" s="162">
        <f t="shared" si="12"/>
        <v>6</v>
      </c>
      <c r="C37" s="160">
        <f t="shared" si="13"/>
        <v>-1.6840689198234188E-2</v>
      </c>
      <c r="D37" s="160">
        <f t="shared" si="14"/>
        <v>-8.9471025776654389E-2</v>
      </c>
      <c r="E37" s="160">
        <f t="shared" si="15"/>
        <v>6.3251721660531973E-2</v>
      </c>
      <c r="F37" s="160">
        <f t="shared" si="16"/>
        <v>-1.6093510978441018E-2</v>
      </c>
      <c r="G37" s="160">
        <f t="shared" si="17"/>
        <v>0.19807980150557</v>
      </c>
      <c r="H37" s="167">
        <f t="shared" si="18"/>
        <v>0.22756111798661674</v>
      </c>
      <c r="I37" s="170">
        <f t="shared" si="19"/>
        <v>-7.400512595137021E-2</v>
      </c>
      <c r="J37" s="170">
        <f t="shared" si="20"/>
        <v>-0.39317360790043376</v>
      </c>
      <c r="K37" s="170">
        <f t="shared" si="21"/>
        <v>0.27795487304756483</v>
      </c>
      <c r="L37" s="170">
        <f t="shared" si="22"/>
        <v>-7.0721708175943768E-2</v>
      </c>
      <c r="M37" s="170">
        <f t="shared" si="23"/>
        <v>0.87044660027210541</v>
      </c>
    </row>
    <row r="38" spans="2:13" x14ac:dyDescent="0.2">
      <c r="B38" s="162">
        <f t="shared" si="12"/>
        <v>7</v>
      </c>
      <c r="C38" s="160">
        <f t="shared" si="13"/>
        <v>-1.7734083918747371E-2</v>
      </c>
      <c r="D38" s="160">
        <f t="shared" si="14"/>
        <v>-8.9300978723380608E-2</v>
      </c>
      <c r="E38" s="160">
        <f t="shared" si="15"/>
        <v>6.2065090842502543E-2</v>
      </c>
      <c r="F38" s="160">
        <f t="shared" si="16"/>
        <v>-1.6858059525667234E-2</v>
      </c>
      <c r="G38" s="160">
        <f t="shared" si="17"/>
        <v>0.19844517768239239</v>
      </c>
      <c r="H38" s="167">
        <f t="shared" si="18"/>
        <v>0.22760914030646084</v>
      </c>
      <c r="I38" s="170">
        <f t="shared" si="19"/>
        <v>-7.7914638642673076E-2</v>
      </c>
      <c r="J38" s="170">
        <f t="shared" si="20"/>
        <v>-0.39234355264969883</v>
      </c>
      <c r="K38" s="170">
        <f t="shared" si="21"/>
        <v>0.2726827699403282</v>
      </c>
      <c r="L38" s="170">
        <f t="shared" si="22"/>
        <v>-7.4065828388829011E-2</v>
      </c>
      <c r="M38" s="170">
        <f t="shared" si="23"/>
        <v>0.8718682273268944</v>
      </c>
    </row>
    <row r="39" spans="2:13" x14ac:dyDescent="0.2">
      <c r="B39" s="162">
        <f t="shared" si="12"/>
        <v>8</v>
      </c>
      <c r="C39" s="160">
        <f t="shared" si="13"/>
        <v>-1.8251621837354931E-2</v>
      </c>
      <c r="D39" s="160">
        <f t="shared" si="14"/>
        <v>-8.9195412898418092E-2</v>
      </c>
      <c r="E39" s="160">
        <f t="shared" si="15"/>
        <v>6.1370900516773422E-2</v>
      </c>
      <c r="F39" s="160">
        <f t="shared" si="16"/>
        <v>-1.7300834821062105E-2</v>
      </c>
      <c r="G39" s="160">
        <f t="shared" si="17"/>
        <v>0.1986420062169342</v>
      </c>
      <c r="H39" s="167">
        <f t="shared" si="18"/>
        <v>0.22762534202378917</v>
      </c>
      <c r="I39" s="170">
        <f t="shared" si="19"/>
        <v>-8.0182732182111124E-2</v>
      </c>
      <c r="J39" s="170">
        <f t="shared" si="20"/>
        <v>-0.3918518566755026</v>
      </c>
      <c r="K39" s="170">
        <f t="shared" si="21"/>
        <v>0.26961365536513743</v>
      </c>
      <c r="L39" s="170">
        <f t="shared" si="22"/>
        <v>-7.6005749918890794E-2</v>
      </c>
      <c r="M39" s="170">
        <f t="shared" si="23"/>
        <v>0.87267087421300427</v>
      </c>
    </row>
    <row r="41" spans="2:13" x14ac:dyDescent="0.2">
      <c r="B41" s="158" t="s">
        <v>375</v>
      </c>
    </row>
    <row r="42" spans="2:13" x14ac:dyDescent="0.2">
      <c r="C42" s="160">
        <f>C26-$H$39*$I$39*I$39</f>
        <v>3.9009851369674865E-2</v>
      </c>
      <c r="D42" s="160">
        <f>D26-$H$39*$I$39*J$39</f>
        <v>-1.5134859428016338E-2</v>
      </c>
      <c r="E42" s="160">
        <f>E26-$H$39*$I$39*K$39</f>
        <v>4.3164327347159054E-2</v>
      </c>
      <c r="F42" s="160">
        <f>F26-$H$39*$I$39*L$39</f>
        <v>3.0979106588734477E-2</v>
      </c>
      <c r="G42" s="160">
        <f>G26-$H$39*$I$39*M$39</f>
        <v>-1.4193058241777391E-2</v>
      </c>
    </row>
    <row r="43" spans="2:13" x14ac:dyDescent="0.2">
      <c r="C43" s="160">
        <f>C27-$H$39*$J$39*I$39</f>
        <v>-1.5134859428016338E-2</v>
      </c>
      <c r="D43" s="160">
        <f>D27-$H$39*$J$39*J$39</f>
        <v>2.3859362319060884E-2</v>
      </c>
      <c r="E43" s="160">
        <f>E27-$H$39*$J$39*K$39</f>
        <v>3.4120750208950189E-3</v>
      </c>
      <c r="F43" s="160">
        <f>F27-$H$39*$J$39*L$39</f>
        <v>-1.1866375339106183E-2</v>
      </c>
      <c r="G43" s="160">
        <f>G27-$H$39*$J$39*M$39</f>
        <v>7.3080722859903691E-3</v>
      </c>
    </row>
    <row r="44" spans="2:13" x14ac:dyDescent="0.2">
      <c r="C44" s="160">
        <f>C28-$H$39*$K$39*I$39</f>
        <v>4.3164327347159054E-2</v>
      </c>
      <c r="D44" s="160">
        <f>D28-$H$39*$K$39*J$39</f>
        <v>3.4120750208950189E-3</v>
      </c>
      <c r="E44" s="160">
        <f>E28-$H$39*$K$39*K$39</f>
        <v>7.3149763472057011E-2</v>
      </c>
      <c r="F44" s="160">
        <f>F28-$H$39*$K$39*L$39</f>
        <v>3.7706103797326404E-2</v>
      </c>
      <c r="G44" s="160">
        <f>G28-$H$39*$K$39*M$39</f>
        <v>-1.4281422074549383E-2</v>
      </c>
    </row>
    <row r="45" spans="2:13" x14ac:dyDescent="0.2">
      <c r="C45" s="160">
        <f>C29-$H$39*$L$39*I$39</f>
        <v>3.0979106588734588E-2</v>
      </c>
      <c r="D45" s="160">
        <f>D29-$H$39*$L$39*J$39</f>
        <v>-1.1866375339106072E-2</v>
      </c>
      <c r="E45" s="160">
        <f>E29-$H$39*$L$39*K$39</f>
        <v>3.7706103797326293E-2</v>
      </c>
      <c r="F45" s="160">
        <f>F29-$H$39*$L$39*L$39</f>
        <v>2.8397675189093446E-2</v>
      </c>
      <c r="G45" s="160">
        <f>G29-$H$39*$L$39*M$39</f>
        <v>-1.1952085563147793E-2</v>
      </c>
    </row>
    <row r="46" spans="2:13" x14ac:dyDescent="0.2">
      <c r="C46" s="160">
        <f>C30-$H$39*$M$39*I$39</f>
        <v>-1.419305824177728E-2</v>
      </c>
      <c r="D46" s="160">
        <f>D30-$H$39*$M$39*J$39</f>
        <v>7.3080722859903691E-3</v>
      </c>
      <c r="E46" s="160">
        <f>E30-$H$39*$M$39*K$39</f>
        <v>-1.4281422074549383E-2</v>
      </c>
      <c r="F46" s="160">
        <f>F30-$H$39*$M$39*L$39</f>
        <v>-1.1952085563147793E-2</v>
      </c>
      <c r="G46" s="160">
        <f>G30-$H$39*$M$39*M$39</f>
        <v>5.4737548148671988E-3</v>
      </c>
    </row>
    <row r="47" spans="2:13" x14ac:dyDescent="0.2">
      <c r="B47" s="162">
        <v>0</v>
      </c>
      <c r="I47" s="170">
        <f>1/SQRT(5)</f>
        <v>0.44721359549995793</v>
      </c>
      <c r="J47" s="170">
        <f>-1/SQRT(5)</f>
        <v>-0.44721359549995793</v>
      </c>
      <c r="K47" s="170">
        <f>-1/SQRT(5)</f>
        <v>-0.44721359549995793</v>
      </c>
      <c r="L47" s="170">
        <f>1/SQRT(5)</f>
        <v>0.44721359549995793</v>
      </c>
      <c r="M47" s="170">
        <f>-1/SQRT(5)</f>
        <v>-0.44721359549995793</v>
      </c>
    </row>
    <row r="48" spans="2:13" x14ac:dyDescent="0.2">
      <c r="B48" s="162">
        <f>B47+1</f>
        <v>1</v>
      </c>
      <c r="C48" s="160">
        <f>SUMPRODUCT($C$42:$G$42,$I47:$M47)</f>
        <v>2.5112183013250678E-2</v>
      </c>
      <c r="D48" s="160">
        <f>SUMPRODUCT($C$43:$G$43,$I47:$M47)</f>
        <v>-2.7539746113588167E-2</v>
      </c>
      <c r="E48" s="160">
        <f>SUMPRODUCT($C$44:$G$44,$I47:$M47)</f>
        <v>8.3137073260486638E-3</v>
      </c>
      <c r="F48" s="160">
        <f>SUMPRODUCT($C$45:$G$45,$I47:$M47)</f>
        <v>2.0343361355954076E-2</v>
      </c>
      <c r="G48" s="160">
        <f>SUMPRODUCT($C$46:$G$46,$I47:$M47)</f>
        <v>-1.1021824505885612E-2</v>
      </c>
      <c r="H48" s="167">
        <f>SQRT(SUMSQ(C48:G48))</f>
        <v>4.4648740720120567E-2</v>
      </c>
      <c r="I48" s="170">
        <f>C48/$H48</f>
        <v>0.56243877449233615</v>
      </c>
      <c r="J48" s="170">
        <f>D48/$H48</f>
        <v>-0.61680902236908153</v>
      </c>
      <c r="K48" s="170">
        <f>E48/$H48</f>
        <v>0.18620250407873573</v>
      </c>
      <c r="L48" s="170">
        <f>F48/$H48</f>
        <v>0.4556312457606787</v>
      </c>
      <c r="M48" s="170">
        <f>G48/$H48</f>
        <v>-0.2468563352094435</v>
      </c>
    </row>
    <row r="49" spans="2:13" x14ac:dyDescent="0.2">
      <c r="B49" s="162">
        <f t="shared" ref="B49:B55" si="24">B48+1</f>
        <v>2</v>
      </c>
      <c r="C49" s="160">
        <f t="shared" ref="C49:C55" si="25">SUMPRODUCT($C$42:$G$42,$I48:$M48)</f>
        <v>5.6931971954448907E-2</v>
      </c>
      <c r="D49" s="160">
        <f t="shared" ref="D49:D55" si="26">SUMPRODUCT($C$43:$G$43,$I48:$M48)</f>
        <v>-2.9804500142567809E-2</v>
      </c>
      <c r="E49" s="160">
        <f t="shared" ref="E49:E55" si="27">SUMPRODUCT($C$44:$G$44,$I48:$M48)</f>
        <v>5.6498900409157997E-2</v>
      </c>
      <c r="F49" s="160">
        <f t="shared" ref="F49:F55" si="28">SUMPRODUCT($C$45:$G$45,$I48:$M48)</f>
        <v>4.7653425226070946E-2</v>
      </c>
      <c r="G49" s="160">
        <f t="shared" ref="G49:G55" si="29">SUMPRODUCT($C$46:$G$46,$I48:$M48)</f>
        <v>-2.1946622446022704E-2</v>
      </c>
      <c r="H49" s="167">
        <f t="shared" ref="H49:H55" si="30">SQRT(SUMSQ(C49:G49))</f>
        <v>0.10037024748091158</v>
      </c>
      <c r="I49" s="170">
        <f t="shared" ref="I49:I55" si="31">C49/$H49</f>
        <v>0.5672196032522111</v>
      </c>
      <c r="J49" s="170">
        <f t="shared" ref="J49:J55" si="32">D49/$H49</f>
        <v>-0.29694556794069904</v>
      </c>
      <c r="K49" s="170">
        <f t="shared" ref="K49:K55" si="33">E49/$H49</f>
        <v>0.56290486301633325</v>
      </c>
      <c r="L49" s="170">
        <f t="shared" ref="L49:L55" si="34">F49/$H49</f>
        <v>0.47477640458277914</v>
      </c>
      <c r="M49" s="170">
        <f t="shared" ref="M49:M55" si="35">G49/$H49</f>
        <v>-0.2186566537080275</v>
      </c>
    </row>
    <row r="50" spans="2:13" x14ac:dyDescent="0.2">
      <c r="B50" s="162">
        <f t="shared" si="24"/>
        <v>3</v>
      </c>
      <c r="C50" s="160">
        <f t="shared" si="25"/>
        <v>6.873034708235061E-2</v>
      </c>
      <c r="D50" s="160">
        <f t="shared" si="26"/>
        <v>-2.0980880882377116E-2</v>
      </c>
      <c r="E50" s="160">
        <f t="shared" si="27"/>
        <v>8.5671506017216237E-2</v>
      </c>
      <c r="F50" s="160">
        <f t="shared" si="28"/>
        <v>5.8416522464609252E-2</v>
      </c>
      <c r="G50" s="160">
        <f t="shared" si="29"/>
        <v>-2.5131203598878302E-2</v>
      </c>
      <c r="H50" s="167">
        <f t="shared" si="30"/>
        <v>0.12863798975071583</v>
      </c>
      <c r="I50" s="170">
        <f t="shared" si="31"/>
        <v>0.53429276386813362</v>
      </c>
      <c r="J50" s="170">
        <f t="shared" si="32"/>
        <v>-0.1631001924317646</v>
      </c>
      <c r="K50" s="170">
        <f t="shared" si="33"/>
        <v>0.66598915439549999</v>
      </c>
      <c r="L50" s="170">
        <f t="shared" si="34"/>
        <v>0.45411563549627204</v>
      </c>
      <c r="M50" s="170">
        <f t="shared" si="35"/>
        <v>-0.19536377743137467</v>
      </c>
    </row>
    <row r="51" spans="2:13" x14ac:dyDescent="0.2">
      <c r="B51" s="162">
        <f t="shared" si="24"/>
        <v>4</v>
      </c>
      <c r="C51" s="160">
        <f t="shared" si="25"/>
        <v>6.8899059808577912E-2</v>
      </c>
      <c r="D51" s="160">
        <f t="shared" si="26"/>
        <v>-1.6521946687876786E-2</v>
      </c>
      <c r="E51" s="160">
        <f t="shared" si="27"/>
        <v>9.1135830636896023E-2</v>
      </c>
      <c r="F51" s="160">
        <f t="shared" si="28"/>
        <v>5.8830009665177992E-2</v>
      </c>
      <c r="G51" s="160">
        <f t="shared" si="29"/>
        <v>-2.478347087126553E-2</v>
      </c>
      <c r="H51" s="167">
        <f t="shared" si="30"/>
        <v>0.13191279413450327</v>
      </c>
      <c r="I51" s="170">
        <f t="shared" si="31"/>
        <v>0.52230763710702566</v>
      </c>
      <c r="J51" s="170">
        <f t="shared" si="32"/>
        <v>-0.1252490086066283</v>
      </c>
      <c r="K51" s="170">
        <f t="shared" si="33"/>
        <v>0.69087938918169289</v>
      </c>
      <c r="L51" s="170">
        <f t="shared" si="34"/>
        <v>0.44597652601606402</v>
      </c>
      <c r="M51" s="170">
        <f t="shared" si="35"/>
        <v>-0.1878776886948158</v>
      </c>
    </row>
    <row r="52" spans="2:13" x14ac:dyDescent="0.2">
      <c r="B52" s="162">
        <f t="shared" si="24"/>
        <v>5</v>
      </c>
      <c r="C52" s="160">
        <f t="shared" si="25"/>
        <v>6.8574626857095977E-2</v>
      </c>
      <c r="D52" s="160">
        <f t="shared" si="26"/>
        <v>-1.5201230416008639E-2</v>
      </c>
      <c r="E52" s="160">
        <f t="shared" si="27"/>
        <v>9.2154560468484539E-2</v>
      </c>
      <c r="F52" s="160">
        <f t="shared" si="28"/>
        <v>5.8627472407395485E-2</v>
      </c>
      <c r="G52" s="160">
        <f t="shared" si="29"/>
        <v>-2.4553957682940351E-2</v>
      </c>
      <c r="H52" s="167">
        <f t="shared" si="30"/>
        <v>0.13215936300037789</v>
      </c>
      <c r="I52" s="170">
        <f t="shared" si="31"/>
        <v>0.51887830949139713</v>
      </c>
      <c r="J52" s="170">
        <f t="shared" si="32"/>
        <v>-0.1150219709818454</v>
      </c>
      <c r="K52" s="170">
        <f t="shared" si="33"/>
        <v>0.69729876397952251</v>
      </c>
      <c r="L52" s="170">
        <f t="shared" si="34"/>
        <v>0.44361194754871697</v>
      </c>
      <c r="M52" s="170">
        <f t="shared" si="35"/>
        <v>-0.18579052687224396</v>
      </c>
    </row>
    <row r="53" spans="2:13" x14ac:dyDescent="0.2">
      <c r="B53" s="162">
        <f t="shared" si="24"/>
        <v>6</v>
      </c>
      <c r="C53" s="160">
        <f t="shared" si="25"/>
        <v>6.8460276777148721E-2</v>
      </c>
      <c r="D53" s="160">
        <f t="shared" si="26"/>
        <v>-1.4840101934991464E-2</v>
      </c>
      <c r="E53" s="160">
        <f t="shared" si="27"/>
        <v>9.2392040336367151E-2</v>
      </c>
      <c r="F53" s="160">
        <f t="shared" si="28"/>
        <v>5.8549832179078942E-2</v>
      </c>
      <c r="G53" s="160">
        <f t="shared" si="29"/>
        <v>-2.4482536650832453E-2</v>
      </c>
      <c r="H53" s="167">
        <f t="shared" si="30"/>
        <v>0.13217717158578973</v>
      </c>
      <c r="I53" s="170">
        <f t="shared" si="31"/>
        <v>0.51794327232002013</v>
      </c>
      <c r="J53" s="170">
        <f t="shared" si="32"/>
        <v>-0.11227431905939582</v>
      </c>
      <c r="K53" s="170">
        <f t="shared" si="33"/>
        <v>0.69900149343413664</v>
      </c>
      <c r="L53" s="170">
        <f t="shared" si="34"/>
        <v>0.44296478337847556</v>
      </c>
      <c r="M53" s="170">
        <f t="shared" si="35"/>
        <v>-0.18522515164384523</v>
      </c>
    </row>
    <row r="54" spans="2:13" x14ac:dyDescent="0.2">
      <c r="B54" s="162">
        <f t="shared" si="24"/>
        <v>7</v>
      </c>
      <c r="C54" s="160">
        <f t="shared" si="25"/>
        <v>6.8427639990671973E-2</v>
      </c>
      <c r="D54" s="160">
        <f t="shared" si="26"/>
        <v>-1.474277191947093E-2</v>
      </c>
      <c r="E54" s="160">
        <f t="shared" si="27"/>
        <v>9.2453133135528401E-2</v>
      </c>
      <c r="F54" s="160">
        <f t="shared" si="28"/>
        <v>5.8527328816418228E-2</v>
      </c>
      <c r="G54" s="160">
        <f t="shared" si="29"/>
        <v>-2.4462673286040203E-2</v>
      </c>
      <c r="H54" s="167">
        <f t="shared" si="30"/>
        <v>0.13217845387135899</v>
      </c>
      <c r="I54" s="170">
        <f t="shared" si="31"/>
        <v>0.51769133309176329</v>
      </c>
      <c r="J54" s="170">
        <f t="shared" si="32"/>
        <v>-0.11153687675768358</v>
      </c>
      <c r="K54" s="170">
        <f t="shared" si="33"/>
        <v>0.69945691168022928</v>
      </c>
      <c r="L54" s="170">
        <f t="shared" si="34"/>
        <v>0.44279023624666702</v>
      </c>
      <c r="M54" s="170">
        <f t="shared" si="35"/>
        <v>-0.18507307786977287</v>
      </c>
    </row>
    <row r="55" spans="2:13" x14ac:dyDescent="0.2">
      <c r="B55" s="162">
        <f t="shared" si="24"/>
        <v>8</v>
      </c>
      <c r="C55" s="160">
        <f t="shared" si="25"/>
        <v>6.8418742909371499E-2</v>
      </c>
      <c r="D55" s="160">
        <f t="shared" si="26"/>
        <v>-1.4716627422465225E-2</v>
      </c>
      <c r="E55" s="160">
        <f t="shared" si="27"/>
        <v>9.2469334971624406E-2</v>
      </c>
      <c r="F55" s="160">
        <f t="shared" si="28"/>
        <v>5.8521170913213585E-2</v>
      </c>
      <c r="G55" s="160">
        <f t="shared" si="29"/>
        <v>-2.4457293619638186E-2</v>
      </c>
      <c r="H55" s="167">
        <f t="shared" si="30"/>
        <v>0.13217854618029193</v>
      </c>
      <c r="I55" s="170">
        <f t="shared" si="31"/>
        <v>0.51762366046943908</v>
      </c>
      <c r="J55" s="170">
        <f t="shared" si="32"/>
        <v>-0.1113390020373783</v>
      </c>
      <c r="K55" s="170">
        <f t="shared" si="33"/>
        <v>0.69957899858798533</v>
      </c>
      <c r="L55" s="170">
        <f t="shared" si="34"/>
        <v>0.44274333925106524</v>
      </c>
      <c r="M55" s="170">
        <f t="shared" si="35"/>
        <v>-0.18503224862435969</v>
      </c>
    </row>
    <row r="57" spans="2:13" x14ac:dyDescent="0.2">
      <c r="B57" s="158" t="s">
        <v>376</v>
      </c>
    </row>
    <row r="58" spans="2:13" x14ac:dyDescent="0.2">
      <c r="C58" s="160">
        <f>C42-$H$55*$I$55*I$55</f>
        <v>3.5946912202085082E-3</v>
      </c>
      <c r="D58" s="160">
        <f>D42-$H$55*$I$55*J$55</f>
        <v>-7.5171848718349624E-3</v>
      </c>
      <c r="E58" s="160">
        <f>E42-$H$55*$I$55*K$55</f>
        <v>-4.699988302027884E-3</v>
      </c>
      <c r="F58" s="160">
        <f>F42-$H$55*$I$55*L$55</f>
        <v>6.871638856791977E-4</v>
      </c>
      <c r="G58" s="160">
        <f>G42-$H$55*$I$55*M$55</f>
        <v>-1.5333843932044174E-3</v>
      </c>
    </row>
    <row r="59" spans="2:13" x14ac:dyDescent="0.2">
      <c r="C59" s="160">
        <f>C43-$H$55*$J$55*I$55</f>
        <v>-7.5171848718349615E-3</v>
      </c>
      <c r="D59" s="160">
        <f>D43-$H$55*$J$55*J$55</f>
        <v>2.2220827708487691E-2</v>
      </c>
      <c r="E59" s="160">
        <f>E43-$H$55*$J$55*K$55</f>
        <v>1.3707518495695726E-2</v>
      </c>
      <c r="F59" s="160">
        <f>F43-$H$55*$J$55*L$55</f>
        <v>-5.3506865715701318E-3</v>
      </c>
      <c r="G59" s="160">
        <f>G43-$H$55*$J$55*M$55</f>
        <v>4.5850216218447136E-3</v>
      </c>
    </row>
    <row r="60" spans="2:13" x14ac:dyDescent="0.2">
      <c r="C60" s="160">
        <f>C44-$H$55*$K$55*I$55</f>
        <v>-4.699988302027884E-3</v>
      </c>
      <c r="D60" s="160">
        <f>D44-$H$55*$K$55*J$55</f>
        <v>1.3707518495695726E-2</v>
      </c>
      <c r="E60" s="160">
        <f>E44-$H$55*$K$55*K$55</f>
        <v>8.4601587125110317E-3</v>
      </c>
      <c r="F60" s="160">
        <f>F44-$H$55*$K$55*L$55</f>
        <v>-3.2340783463358919E-3</v>
      </c>
      <c r="G60" s="160">
        <f>G44-$H$55*$K$55*M$55</f>
        <v>2.8283869040494208E-3</v>
      </c>
    </row>
    <row r="61" spans="2:13" x14ac:dyDescent="0.2">
      <c r="C61" s="160">
        <f>C45-$H$55*$L$55*I$55</f>
        <v>6.8716388567930525E-4</v>
      </c>
      <c r="D61" s="160">
        <f>D45-$H$55*$L$55*J$55</f>
        <v>-5.3506865715700199E-3</v>
      </c>
      <c r="E61" s="160">
        <f>E45-$H$55*$L$55*K$55</f>
        <v>-3.2340783463360029E-3</v>
      </c>
      <c r="F61" s="160">
        <f>F45-$H$55*$L$55*L$55</f>
        <v>2.4878165620949542E-3</v>
      </c>
      <c r="G61" s="160">
        <f>G45-$H$55*$L$55*M$55</f>
        <v>-1.1237817169454118E-3</v>
      </c>
    </row>
    <row r="62" spans="2:13" x14ac:dyDescent="0.2">
      <c r="C62" s="160">
        <f>C46-$H$55*$M$55*I$55</f>
        <v>-1.5333843932043047E-3</v>
      </c>
      <c r="D62" s="160">
        <f>D46-$H$55*$M$55*J$55</f>
        <v>4.5850216218447136E-3</v>
      </c>
      <c r="E62" s="160">
        <f>E46-$H$55*$M$55*K$55</f>
        <v>2.8283869040494243E-3</v>
      </c>
      <c r="F62" s="160">
        <f>F46-$H$55*$M$55*L$55</f>
        <v>-1.1237817169454101E-3</v>
      </c>
      <c r="G62" s="160">
        <f>G46-$H$55*$M$55*M$55</f>
        <v>9.483667811593403E-4</v>
      </c>
    </row>
    <row r="63" spans="2:13" x14ac:dyDescent="0.2">
      <c r="B63" s="162">
        <v>0</v>
      </c>
      <c r="I63" s="170">
        <f>-1/SQRT(5)</f>
        <v>-0.44721359549995793</v>
      </c>
      <c r="J63" s="170">
        <f>1/SQRT(5)</f>
        <v>0.44721359549995793</v>
      </c>
      <c r="K63" s="170">
        <f>1/SQRT(5)</f>
        <v>0.44721359549995793</v>
      </c>
      <c r="L63" s="170">
        <f>-1/SQRT(5)</f>
        <v>-0.44721359549995793</v>
      </c>
      <c r="M63" s="170">
        <f>1/SQRT(5)</f>
        <v>0.44721359549995793</v>
      </c>
    </row>
    <row r="64" spans="2:13" x14ac:dyDescent="0.2">
      <c r="B64" s="162">
        <f>B63+1</f>
        <v>1</v>
      </c>
      <c r="C64" s="160">
        <f>SUMPRODUCT($C$58:$G$58,$I63:$M63)</f>
        <v>-8.0643401070111982E-3</v>
      </c>
      <c r="D64" s="160">
        <f>SUMPRODUCT($C$59:$G$59,$I63:$M63)</f>
        <v>2.387281594592678E-2</v>
      </c>
      <c r="E64" s="160">
        <f>SUMPRODUCT($C$60:$G$60,$I63:$M63)</f>
        <v>1.4726802177740615E-2</v>
      </c>
      <c r="F64" s="160">
        <f>SUMPRODUCT($C$61:$G$61,$I63:$M63)</f>
        <v>-5.7616884693421208E-3</v>
      </c>
      <c r="G64" s="160">
        <f>SUMPRODUCT($C$62:$G$62,$I63:$M63)</f>
        <v>4.9278204097908422E-3</v>
      </c>
      <c r="H64" s="167">
        <f>SQRT(SUMSQ(C64:G64))</f>
        <v>3.015466950475253E-2</v>
      </c>
      <c r="I64" s="170">
        <f>C64/$H64</f>
        <v>-0.2674325482406702</v>
      </c>
      <c r="J64" s="170">
        <f>D64/$H64</f>
        <v>0.7916789120227069</v>
      </c>
      <c r="K64" s="170">
        <f>E64/$H64</f>
        <v>0.48837551263560008</v>
      </c>
      <c r="L64" s="170">
        <f>F64/$H64</f>
        <v>-0.19107118612041327</v>
      </c>
      <c r="M64" s="170">
        <f>G64/$H64</f>
        <v>0.16341815349739425</v>
      </c>
    </row>
    <row r="65" spans="2:13" x14ac:dyDescent="0.2">
      <c r="B65" s="162">
        <f t="shared" ref="B65:B71" si="36">B64+1</f>
        <v>2</v>
      </c>
      <c r="C65" s="160">
        <f t="shared" ref="C65:C71" si="37">SUMPRODUCT($C$58:$G$58,$I64:$M64)</f>
        <v>-9.5897734351857965E-3</v>
      </c>
      <c r="D65" s="160">
        <f t="shared" ref="D65:D71" si="38">SUMPRODUCT($C$59:$G$59,$I64:$M64)</f>
        <v>2.8068154779643924E-2</v>
      </c>
      <c r="E65" s="160">
        <f t="shared" ref="E65:E71" si="39">SUMPRODUCT($C$60:$G$60,$I64:$M64)</f>
        <v>1.7320766476594005E-2</v>
      </c>
      <c r="F65" s="160">
        <f t="shared" ref="F65:F71" si="40">SUMPRODUCT($C$61:$G$61,$I64:$M64)</f>
        <v>-6.6582367773436206E-3</v>
      </c>
      <c r="G65" s="160">
        <f t="shared" ref="G65:G71" si="41">SUMPRODUCT($C$62:$G$62,$I64:$M64)</f>
        <v>5.7909593828991864E-3</v>
      </c>
      <c r="H65" s="167">
        <f t="shared" ref="H65:H71" si="42">SQRT(SUMSQ(C65:G65))</f>
        <v>3.5463521344707233E-2</v>
      </c>
      <c r="I65" s="170">
        <f t="shared" ref="I65:I71" si="43">C65/$H65</f>
        <v>-0.27041232995372089</v>
      </c>
      <c r="J65" s="170">
        <f t="shared" ref="J65:J71" si="44">D65/$H65</f>
        <v>0.79146553177334056</v>
      </c>
      <c r="K65" s="170">
        <f t="shared" ref="K65:K71" si="45">E65/$H65</f>
        <v>0.48841079001251098</v>
      </c>
      <c r="L65" s="170">
        <f t="shared" ref="L65:L71" si="46">F65/$H65</f>
        <v>-0.18774889026459668</v>
      </c>
      <c r="M65" s="170">
        <f t="shared" ref="M65:M71" si="47">G65/$H65</f>
        <v>0.16329341146387485</v>
      </c>
    </row>
    <row r="66" spans="2:13" x14ac:dyDescent="0.2">
      <c r="B66" s="162">
        <f t="shared" si="36"/>
        <v>3</v>
      </c>
      <c r="C66" s="160">
        <f t="shared" si="37"/>
        <v>-9.5965723756071247E-3</v>
      </c>
      <c r="D66" s="160">
        <f t="shared" si="38"/>
        <v>2.8067947920454223E-2</v>
      </c>
      <c r="E66" s="160">
        <f t="shared" si="39"/>
        <v>1.7321047570459356E-2</v>
      </c>
      <c r="F66" s="160">
        <f t="shared" si="40"/>
        <v>-6.6508512892190117E-3</v>
      </c>
      <c r="G66" s="160">
        <f t="shared" si="41"/>
        <v>5.7907981221451263E-3</v>
      </c>
      <c r="H66" s="167">
        <f t="shared" si="42"/>
        <v>3.5463921899959935E-2</v>
      </c>
      <c r="I66" s="170">
        <f t="shared" si="43"/>
        <v>-0.27060099000550658</v>
      </c>
      <c r="J66" s="170">
        <f t="shared" si="44"/>
        <v>0.79145075944028431</v>
      </c>
      <c r="K66" s="170">
        <f t="shared" si="45"/>
        <v>0.48841319973916714</v>
      </c>
      <c r="L66" s="170">
        <f t="shared" si="46"/>
        <v>-0.18753851612859901</v>
      </c>
      <c r="M66" s="170">
        <f t="shared" si="47"/>
        <v>0.16328701993198524</v>
      </c>
    </row>
    <row r="67" spans="2:13" x14ac:dyDescent="0.2">
      <c r="B67" s="162">
        <f t="shared" si="36"/>
        <v>4</v>
      </c>
      <c r="C67" s="160">
        <f t="shared" si="37"/>
        <v>-9.5969964673834202E-3</v>
      </c>
      <c r="D67" s="160">
        <f t="shared" si="38"/>
        <v>2.8067915939470042E-2</v>
      </c>
      <c r="E67" s="160">
        <f t="shared" si="39"/>
        <v>1.7321053720974228E-2</v>
      </c>
      <c r="F67" s="160">
        <f t="shared" si="40"/>
        <v>-6.650379125767502E-3</v>
      </c>
      <c r="G67" s="160">
        <f t="shared" si="41"/>
        <v>5.790784018572726E-3</v>
      </c>
      <c r="H67" s="167">
        <f t="shared" si="42"/>
        <v>3.5463923506166131E-2</v>
      </c>
      <c r="I67" s="170">
        <f t="shared" si="43"/>
        <v>-0.27061293614945864</v>
      </c>
      <c r="J67" s="170">
        <f t="shared" si="44"/>
        <v>0.79144982180524548</v>
      </c>
      <c r="K67" s="170">
        <f t="shared" si="45"/>
        <v>0.48841335104849881</v>
      </c>
      <c r="L67" s="170">
        <f t="shared" si="46"/>
        <v>-0.18752519372570825</v>
      </c>
      <c r="M67" s="170">
        <f t="shared" si="47"/>
        <v>0.16328661484863286</v>
      </c>
    </row>
    <row r="68" spans="2:13" x14ac:dyDescent="0.2">
      <c r="B68" s="162">
        <f t="shared" si="36"/>
        <v>5</v>
      </c>
      <c r="C68" s="160">
        <f t="shared" si="37"/>
        <v>-9.5970232970357325E-3</v>
      </c>
      <c r="D68" s="160">
        <f t="shared" si="38"/>
        <v>2.806791383857327E-2</v>
      </c>
      <c r="E68" s="160">
        <f t="shared" si="39"/>
        <v>1.7321054063735224E-2</v>
      </c>
      <c r="F68" s="160">
        <f t="shared" si="40"/>
        <v>-6.6503492081613968E-3</v>
      </c>
      <c r="G68" s="160">
        <f t="shared" si="41"/>
        <v>5.7907831098474374E-3</v>
      </c>
      <c r="H68" s="167">
        <f t="shared" si="42"/>
        <v>3.5463923512607083E-2</v>
      </c>
      <c r="I68" s="170">
        <f t="shared" si="43"/>
        <v>-0.27061369263398288</v>
      </c>
      <c r="J68" s="170">
        <f t="shared" si="44"/>
        <v>0.79144976242110932</v>
      </c>
      <c r="K68" s="170">
        <f t="shared" si="45"/>
        <v>0.48841336062485463</v>
      </c>
      <c r="L68" s="170">
        <f t="shared" si="46"/>
        <v>-0.18752435008487603</v>
      </c>
      <c r="M68" s="170">
        <f t="shared" si="47"/>
        <v>0.16328658919504127</v>
      </c>
    </row>
    <row r="69" spans="2:13" x14ac:dyDescent="0.2">
      <c r="B69" s="162">
        <f t="shared" si="36"/>
        <v>6</v>
      </c>
      <c r="C69" s="160">
        <f t="shared" si="37"/>
        <v>-9.5970249959149104E-3</v>
      </c>
      <c r="D69" s="160">
        <f t="shared" si="38"/>
        <v>2.8067913705230759E-2</v>
      </c>
      <c r="E69" s="160">
        <f t="shared" si="39"/>
        <v>1.7321054085253151E-2</v>
      </c>
      <c r="F69" s="160">
        <f t="shared" si="40"/>
        <v>-6.6503473135623558E-3</v>
      </c>
      <c r="G69" s="160">
        <f t="shared" si="41"/>
        <v>5.7907830522399353E-3</v>
      </c>
      <c r="H69" s="167">
        <f t="shared" si="42"/>
        <v>3.5463923512632896E-2</v>
      </c>
      <c r="I69" s="170">
        <f t="shared" si="43"/>
        <v>-0.27061374053821979</v>
      </c>
      <c r="J69" s="170">
        <f t="shared" si="44"/>
        <v>0.7914497586605852</v>
      </c>
      <c r="K69" s="170">
        <f t="shared" si="45"/>
        <v>0.48841336123125451</v>
      </c>
      <c r="L69" s="170">
        <f t="shared" si="46"/>
        <v>-0.18752429666146164</v>
      </c>
      <c r="M69" s="170">
        <f t="shared" si="47"/>
        <v>0.16328658757052511</v>
      </c>
    </row>
    <row r="70" spans="2:13" x14ac:dyDescent="0.2">
      <c r="B70" s="162">
        <f t="shared" si="36"/>
        <v>7</v>
      </c>
      <c r="C70" s="160">
        <f t="shared" si="37"/>
        <v>-9.5970251034957176E-3</v>
      </c>
      <c r="D70" s="160">
        <f t="shared" si="38"/>
        <v>2.8067913696785657E-2</v>
      </c>
      <c r="E70" s="160">
        <f t="shared" si="39"/>
        <v>1.732105408661502E-2</v>
      </c>
      <c r="F70" s="160">
        <f t="shared" si="40"/>
        <v>-6.6503471935869191E-3</v>
      </c>
      <c r="G70" s="160">
        <f t="shared" si="41"/>
        <v>5.7907830485917E-3</v>
      </c>
      <c r="H70" s="167">
        <f t="shared" si="42"/>
        <v>3.5463923512633007E-2</v>
      </c>
      <c r="I70" s="170">
        <f t="shared" si="43"/>
        <v>-0.270613743571747</v>
      </c>
      <c r="J70" s="170">
        <f t="shared" si="44"/>
        <v>0.79144975842245058</v>
      </c>
      <c r="K70" s="170">
        <f t="shared" si="45"/>
        <v>0.48841336126965451</v>
      </c>
      <c r="L70" s="170">
        <f t="shared" si="46"/>
        <v>-0.18752429327843331</v>
      </c>
      <c r="M70" s="170">
        <f t="shared" si="47"/>
        <v>0.16328658746765284</v>
      </c>
    </row>
    <row r="71" spans="2:13" x14ac:dyDescent="0.2">
      <c r="B71" s="162">
        <f t="shared" si="36"/>
        <v>8</v>
      </c>
      <c r="C71" s="160">
        <f t="shared" si="37"/>
        <v>-9.5970251103082525E-3</v>
      </c>
      <c r="D71" s="160">
        <f t="shared" si="38"/>
        <v>2.8067913696250866E-2</v>
      </c>
      <c r="E71" s="160">
        <f t="shared" si="39"/>
        <v>1.732105408670126E-2</v>
      </c>
      <c r="F71" s="160">
        <f t="shared" si="40"/>
        <v>-6.6503471859894947E-3</v>
      </c>
      <c r="G71" s="160">
        <f t="shared" si="41"/>
        <v>5.7907830483606747E-3</v>
      </c>
      <c r="H71" s="167">
        <f t="shared" si="42"/>
        <v>3.5463923512633007E-2</v>
      </c>
      <c r="I71" s="170">
        <f t="shared" si="43"/>
        <v>-0.27061374376384462</v>
      </c>
      <c r="J71" s="170">
        <f t="shared" si="44"/>
        <v>0.79144975840737064</v>
      </c>
      <c r="K71" s="170">
        <f t="shared" si="45"/>
        <v>0.48841336127208629</v>
      </c>
      <c r="L71" s="170">
        <f t="shared" si="46"/>
        <v>-0.18752429306420365</v>
      </c>
      <c r="M71" s="170">
        <f t="shared" si="47"/>
        <v>0.16328658746113847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TOC</vt:lpstr>
      <vt:lpstr>1. MLR Recap</vt:lpstr>
      <vt:lpstr>2. The Problem</vt:lpstr>
      <vt:lpstr>3. PCA Intuition</vt:lpstr>
      <vt:lpstr>4. PCA Math</vt:lpstr>
      <vt:lpstr>5. PCA Steps</vt:lpstr>
      <vt:lpstr>6. PCR (PCA+MLR)</vt:lpstr>
      <vt:lpstr>7. Illustration</vt:lpstr>
      <vt:lpstr>8. Pros &amp; Cons</vt:lpstr>
      <vt:lpstr>9. Glossary &amp; FAQ</vt:lpstr>
      <vt:lpstr>10. Case Study</vt:lpstr>
      <vt:lpstr>Eigen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 Vaidyanathan</dc:creator>
  <cp:lastModifiedBy>Ravichandran Vaidyanathan</cp:lastModifiedBy>
  <dcterms:created xsi:type="dcterms:W3CDTF">2026-05-11T12:21:52Z</dcterms:created>
  <dcterms:modified xsi:type="dcterms:W3CDTF">2026-05-12T22:14:14Z</dcterms:modified>
</cp:coreProperties>
</file>